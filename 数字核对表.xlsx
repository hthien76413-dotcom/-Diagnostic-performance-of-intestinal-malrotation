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核对表" sheetId="2" state="visible" r:id="rId4"/>
    <sheet name="问题汇总" sheetId="3" state="visible" r:id="rId5"/>
    <sheet name="专项检查" sheetId="4" state="visible" r:id="rId6"/>
    <sheet name="更正记录" sheetId="5" state="visible" r:id="rId7"/>
  </sheets>
  <definedNames>
    <definedName function="false" hidden="true" localSheetId="3" name="_xlnm._FilterDatabase" vbProcedure="false">专项检查!$A$1:$B$8</definedName>
    <definedName function="false" hidden="true" localSheetId="4" name="_xlnm._FilterDatabase" vbProcedure="false">更正记录!$A$1:$D$34</definedName>
    <definedName function="false" hidden="true" localSheetId="1" name="_xlnm._FilterDatabase" vbProcedure="false">核对表!$A$1:$E$356</definedName>
    <definedName function="false" hidden="true" localSheetId="2" name="_xlnm._FilterDatabase" vbProcedure="false">问题汇总!$A$1:$F$1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<sst xmlns="http://schemas.openxmlformats.org/spreadsheetml/2006/main" count="1961" uniqueCount="1085">
  <si>
    <r>
      <rPr>
        <b val="true"/>
        <sz val="12"/>
        <rFont val="Noto Sans CJK SC"/>
        <family val="2"/>
      </rPr>
      <t xml:space="preserve">数字核对表 </t>
    </r>
    <r>
      <rPr>
        <b val="true"/>
        <sz val="12"/>
        <rFont val="Arial"/>
        <family val="0"/>
        <charset val="1"/>
      </rPr>
      <t xml:space="preserve">· JACR </t>
    </r>
    <r>
      <rPr>
        <b val="true"/>
        <sz val="12"/>
        <rFont val="Noto Sans CJK SC"/>
        <family val="2"/>
      </rPr>
      <t xml:space="preserve">稿件（</t>
    </r>
    <r>
      <rPr>
        <b val="true"/>
        <sz val="12"/>
        <rFont val="Arial"/>
        <family val="0"/>
        <charset val="1"/>
      </rPr>
      <t xml:space="preserve">2026-10-10 </t>
    </r>
    <r>
      <rPr>
        <b val="true"/>
        <sz val="12"/>
        <rFont val="Noto Sans CJK SC"/>
        <family val="2"/>
      </rPr>
      <t xml:space="preserve">更正后版本）</t>
    </r>
  </si>
  <si>
    <t xml:space="preserve">核对范围</t>
  </si>
  <si>
    <r>
      <rPr>
        <sz val="11"/>
        <rFont val="Noto Sans CJK SC"/>
        <family val="2"/>
      </rPr>
      <t xml:space="preserve">摘要、正文、表 </t>
    </r>
    <r>
      <rPr>
        <sz val="11"/>
        <rFont val="Arial"/>
        <family val="0"/>
        <charset val="1"/>
      </rPr>
      <t xml:space="preserve">1–4</t>
    </r>
    <r>
      <rPr>
        <sz val="11"/>
        <rFont val="Noto Sans CJK SC"/>
        <family val="2"/>
      </rPr>
      <t xml:space="preserve">、图 </t>
    </r>
    <r>
      <rPr>
        <sz val="11"/>
        <rFont val="Arial"/>
        <family val="0"/>
        <charset val="1"/>
      </rPr>
      <t xml:space="preserve">1–3 </t>
    </r>
    <r>
      <rPr>
        <sz val="11"/>
        <rFont val="Noto Sans CJK SC"/>
        <family val="2"/>
      </rPr>
      <t xml:space="preserve">与图注、</t>
    </r>
    <r>
      <rPr>
        <sz val="11"/>
        <rFont val="Arial"/>
        <family val="0"/>
        <charset val="1"/>
      </rPr>
      <t xml:space="preserve">Take-Home Points</t>
    </r>
    <r>
      <rPr>
        <sz val="11"/>
        <rFont val="Noto Sans CJK SC"/>
        <family val="2"/>
      </rPr>
      <t xml:space="preserve">、补充材料 </t>
    </r>
    <r>
      <rPr>
        <sz val="11"/>
        <rFont val="Arial"/>
        <family val="0"/>
        <charset val="1"/>
      </rPr>
      <t xml:space="preserve">1–4</t>
    </r>
    <r>
      <rPr>
        <sz val="11"/>
        <rFont val="Noto Sans CJK SC"/>
        <family val="2"/>
      </rPr>
      <t xml:space="preserve">（正文与表 </t>
    </r>
    <r>
      <rPr>
        <sz val="11"/>
        <rFont val="Arial"/>
        <family val="0"/>
        <charset val="1"/>
      </rPr>
      <t xml:space="preserve">S1–S19</t>
    </r>
    <r>
      <rPr>
        <sz val="11"/>
        <rFont val="Noto Sans CJK SC"/>
        <family val="2"/>
      </rPr>
      <t xml:space="preserve">、图 </t>
    </r>
    <r>
      <rPr>
        <sz val="11"/>
        <rFont val="Arial"/>
        <family val="0"/>
        <charset val="1"/>
      </rPr>
      <t xml:space="preserve">S1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Cover Letter </t>
    </r>
    <r>
      <rPr>
        <sz val="11"/>
        <rFont val="Noto Sans CJK SC"/>
        <family val="2"/>
      </rPr>
      <t xml:space="preserve">与 </t>
    </r>
    <r>
      <rPr>
        <sz val="11"/>
        <rFont val="Arial"/>
        <family val="0"/>
        <charset val="1"/>
      </rPr>
      <t xml:space="preserve">Title Page </t>
    </r>
    <r>
      <rPr>
        <sz val="11"/>
        <rFont val="Noto Sans CJK SC"/>
        <family val="2"/>
      </rPr>
      <t xml:space="preserve">中的全部数字。</t>
    </r>
  </si>
  <si>
    <r>
      <rPr>
        <sz val="11"/>
        <rFont val="Noto Sans CJK SC"/>
        <family val="2"/>
      </rPr>
      <t xml:space="preserve">本文为横断面的报告审计，没有均值 </t>
    </r>
    <r>
      <rPr>
        <sz val="11"/>
        <rFont val="Arial"/>
        <family val="0"/>
        <charset val="1"/>
      </rPr>
      <t xml:space="preserve">± </t>
    </r>
    <r>
      <rPr>
        <sz val="11"/>
        <rFont val="Noto Sans CJK SC"/>
        <family val="2"/>
      </rPr>
      <t xml:space="preserve">标准差，也没有随访时间；年龄以中位数（四分位数）报告。</t>
    </r>
  </si>
  <si>
    <t xml:space="preserve">核对方法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</si>
  <si>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从分析数据集（含 </t>
    </r>
    <r>
      <rPr>
        <sz val="11"/>
        <rFont val="Arial"/>
        <family val="0"/>
        <charset val="1"/>
      </rPr>
      <t xml:space="preserve">S1–S3 </t>
    </r>
    <r>
      <rPr>
        <sz val="11"/>
        <rFont val="Noto Sans CJK SC"/>
        <family val="2"/>
      </rPr>
      <t xml:space="preserve">复核决定）独立重算每一个数字：</t>
    </r>
    <r>
      <rPr>
        <sz val="11"/>
        <rFont val="Arial"/>
        <family val="0"/>
        <charset val="1"/>
      </rPr>
      <t xml:space="preserve">Wilson </t>
    </r>
    <r>
      <rPr>
        <sz val="11"/>
        <rFont val="Noto Sans CJK SC"/>
        <family val="2"/>
      </rPr>
      <t xml:space="preserve">区间、</t>
    </r>
    <r>
      <rPr>
        <sz val="11"/>
        <rFont val="Arial"/>
        <family val="0"/>
        <charset val="1"/>
      </rPr>
      <t xml:space="preserve">logistic </t>
    </r>
    <r>
      <rPr>
        <sz val="11"/>
        <rFont val="Noto Sans CJK SC"/>
        <family val="2"/>
      </rPr>
      <t xml:space="preserve">回归（自写 </t>
    </r>
    <r>
      <rPr>
        <sz val="11"/>
        <rFont val="Arial"/>
        <family val="0"/>
        <charset val="1"/>
      </rPr>
      <t xml:space="preserve">IRLS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Cochran Q</t>
    </r>
    <r>
      <rPr>
        <sz val="11"/>
        <rFont val="Noto Sans CJK SC"/>
        <family val="2"/>
      </rPr>
      <t xml:space="preserve">、精确 </t>
    </r>
    <r>
      <rPr>
        <sz val="11"/>
        <rFont val="Arial"/>
        <family val="0"/>
        <charset val="1"/>
      </rPr>
      <t xml:space="preserve">McNemar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Cohen kappa </t>
    </r>
    <r>
      <rPr>
        <sz val="11"/>
        <rFont val="Noto Sans CJK SC"/>
        <family val="2"/>
      </rPr>
      <t xml:space="preserve">均按公式另行编写，不调用原分析脚本的计算结果。</t>
    </r>
  </si>
  <si>
    <r>
      <rPr>
        <sz val="11"/>
        <rFont val="Arial"/>
        <family val="0"/>
        <charset val="1"/>
      </rPr>
      <t xml:space="preserve">2. GEE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bootstrap </t>
    </r>
    <r>
      <rPr>
        <sz val="11"/>
        <rFont val="Noto Sans CJK SC"/>
        <family val="2"/>
      </rPr>
      <t xml:space="preserve">区间和 </t>
    </r>
    <r>
      <rPr>
        <sz val="11"/>
        <rFont val="Arial"/>
        <family val="0"/>
        <charset val="1"/>
      </rPr>
      <t xml:space="preserve">Firth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profile </t>
    </r>
    <r>
      <rPr>
        <sz val="11"/>
        <rFont val="Noto Sans CJK SC"/>
        <family val="2"/>
      </rPr>
      <t xml:space="preserve">区间没有独立实现可用，按原程序（同一软件、固定随机种子）重拟合，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复核结果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中逐条注明。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</si>
  <si>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文献数字无法用本研究数据核对，标为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需核对原始文献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；只能由科室提供的信息标为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需原始数据确认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</si>
  <si>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用程序抽取正文与补充材料每一段中的全部数字（含英文数词），确认每个数字都有对应的核对行，没有遗漏。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</si>
  <si>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核对程序：</t>
    </r>
    <r>
      <rPr>
        <sz val="11"/>
        <rFont val="Arial"/>
        <family val="0"/>
        <charset val="1"/>
      </rPr>
      <t xml:space="preserve">analysis/verify_facts.py</t>
    </r>
    <r>
      <rPr>
        <sz val="11"/>
        <rFont val="Noto Sans CJK SC"/>
        <family val="2"/>
      </rPr>
      <t xml:space="preserve">（独立重算）与 </t>
    </r>
    <r>
      <rPr>
        <sz val="11"/>
        <rFont val="Arial"/>
        <family val="0"/>
        <charset val="1"/>
      </rPr>
      <t xml:space="preserve">analysis/verify_numbers.py</t>
    </r>
    <r>
      <rPr>
        <sz val="11"/>
        <rFont val="Noto Sans CJK SC"/>
        <family val="2"/>
      </rPr>
      <t xml:space="preserve">（逐项比对并生成本表），可重复运行。</t>
    </r>
  </si>
  <si>
    <r>
      <rPr>
        <b val="true"/>
        <sz val="12"/>
        <rFont val="Arial"/>
        <family val="0"/>
        <charset val="1"/>
      </rPr>
      <t xml:space="preserve">"</t>
    </r>
    <r>
      <rPr>
        <b val="true"/>
        <sz val="12"/>
        <rFont val="Noto Sans CJK SC"/>
        <family val="2"/>
      </rPr>
      <t xml:space="preserve">复核结果</t>
    </r>
    <r>
      <rPr>
        <b val="true"/>
        <sz val="12"/>
        <rFont val="Arial"/>
        <family val="0"/>
        <charset val="1"/>
      </rPr>
      <t xml:space="preserve">"</t>
    </r>
    <r>
      <rPr>
        <b val="true"/>
        <sz val="12"/>
        <rFont val="Noto Sans CJK SC"/>
        <family val="2"/>
      </rPr>
      <t xml:space="preserve">列开头的标记</t>
    </r>
  </si>
  <si>
    <t xml:space="preserve">【一致】复算结果与原文相同（百分比按四舍五入到原文位数比较）</t>
  </si>
  <si>
    <t xml:space="preserve">【不一致】复算结果或原始记录与原文不符（浅红底）</t>
  </si>
  <si>
    <r>
      <rPr>
        <sz val="11"/>
        <rFont val="Noto Sans CJK SC"/>
        <family val="2"/>
      </rPr>
      <t xml:space="preserve">【需核对原始文献】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【需原始数据确认】本研究数据无法核对（浅黄底）</t>
    </r>
  </si>
  <si>
    <r>
      <rPr>
        <sz val="11"/>
        <rFont val="Noto Sans CJK SC"/>
        <family val="2"/>
      </rPr>
      <t xml:space="preserve">【定义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描述性数字】年份、参数、计数词等，核对上下文无误（浅灰底）</t>
    </r>
  </si>
  <si>
    <r>
      <rPr>
        <b val="true"/>
        <sz val="12"/>
        <rFont val="Noto Sans CJK SC"/>
        <family val="2"/>
      </rPr>
      <t xml:space="preserve">结果统计（公式按</t>
    </r>
    <r>
      <rPr>
        <b val="true"/>
        <sz val="12"/>
        <rFont val="Arial"/>
        <family val="0"/>
        <charset val="1"/>
      </rPr>
      <t xml:space="preserve">"</t>
    </r>
    <r>
      <rPr>
        <b val="true"/>
        <sz val="12"/>
        <rFont val="Noto Sans CJK SC"/>
        <family val="2"/>
      </rPr>
      <t xml:space="preserve">核对表</t>
    </r>
    <r>
      <rPr>
        <b val="true"/>
        <sz val="12"/>
        <rFont val="Arial"/>
        <family val="0"/>
        <charset val="1"/>
      </rPr>
      <t xml:space="preserve">"</t>
    </r>
    <r>
      <rPr>
        <b val="true"/>
        <sz val="12"/>
        <rFont val="Noto Sans CJK SC"/>
        <family val="2"/>
      </rPr>
      <t xml:space="preserve">自动计数）</t>
    </r>
  </si>
  <si>
    <t xml:space="preserve">核对行总数</t>
  </si>
  <si>
    <t xml:space="preserve">一致</t>
  </si>
  <si>
    <t xml:space="preserve">不一致</t>
  </si>
  <si>
    <t xml:space="preserve">需核对原始文献</t>
  </si>
  <si>
    <t xml:space="preserve">需原始数据确认</t>
  </si>
  <si>
    <r>
      <rPr>
        <sz val="11"/>
        <rFont val="Noto Sans CJK SC"/>
        <family val="2"/>
      </rPr>
      <t xml:space="preserve">定义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描述性数字</t>
    </r>
  </si>
  <si>
    <t xml:space="preserve">问题汇总行数</t>
  </si>
  <si>
    <t xml:space="preserve">原文位置</t>
  </si>
  <si>
    <t xml:space="preserve">原数值</t>
  </si>
  <si>
    <t xml:space="preserve">复核结果</t>
  </si>
  <si>
    <t xml:space="preserve">问题</t>
  </si>
  <si>
    <t xml:space="preserve">建议修改</t>
  </si>
  <si>
    <r>
      <rPr>
        <sz val="10"/>
        <rFont val="Noto Sans CJK SC"/>
        <family val="2"/>
      </rPr>
      <t xml:space="preserve">摘要 </t>
    </r>
    <r>
      <rPr>
        <sz val="10"/>
        <rFont val="Arial"/>
        <family val="0"/>
        <charset val="1"/>
      </rPr>
      <t xml:space="preserve">· Objective</t>
    </r>
  </si>
  <si>
    <t xml:space="preserve">93–97%</t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</si>
  <si>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[13]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Nguyen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AJR 2025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PMID 40499019</t>
    </r>
    <r>
      <rPr>
        <sz val="10"/>
        <rFont val="Noto Sans CJK SC"/>
        <family val="2"/>
      </rPr>
      <t xml:space="preserve">）摘要：旋转不良敏感度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93%/96%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；扭转敏感度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97%/98%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；最准确的单一征象：</t>
    </r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</rPr>
      <t xml:space="preserve">腹膜内位置对旋转不良（准确度 </t>
    </r>
    <r>
      <rPr>
        <sz val="10"/>
        <rFont val="Arial"/>
        <family val="0"/>
        <charset val="1"/>
      </rPr>
      <t xml:space="preserve">98%</t>
    </r>
    <r>
      <rPr>
        <sz val="10"/>
        <rFont val="Noto Sans CJK SC"/>
        <family val="2"/>
      </rPr>
      <t xml:space="preserve">）、漩涡征对扭转（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）；排除非诊断性与不确定检查。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多次检索一致（含二手综述）；</t>
    </r>
    <r>
      <rPr>
        <sz val="10"/>
        <rFont val="Arial"/>
        <family val="0"/>
        <charset val="1"/>
      </rPr>
      <t xml:space="preserve">AJR/PubMed </t>
    </r>
    <r>
      <rPr>
        <sz val="10"/>
        <rFont val="Noto Sans CJK SC"/>
        <family val="2"/>
      </rPr>
      <t xml:space="preserve">原页因网络策略未能直接打开</t>
    </r>
  </si>
  <si>
    <t xml:space="preserve">无</t>
  </si>
  <si>
    <t xml:space="preserve">无需修改</t>
  </si>
  <si>
    <r>
      <rPr>
        <sz val="10"/>
        <rFont val="Noto Sans CJK SC"/>
        <family val="2"/>
      </rPr>
      <t xml:space="preserve">摘要 </t>
    </r>
    <r>
      <rPr>
        <sz val="10"/>
        <rFont val="Arial"/>
        <family val="0"/>
        <charset val="1"/>
      </rPr>
      <t xml:space="preserve">· Methods</t>
    </r>
  </si>
  <si>
    <t xml:space="preserve">December 2012–June 2026</t>
  </si>
  <si>
    <r>
      <rPr>
        <sz val="10"/>
        <rFont val="Noto Sans CJK SC"/>
        <family val="2"/>
      </rPr>
      <t xml:space="preserve">【一致】队列首次手术日期 </t>
    </r>
    <r>
      <rPr>
        <sz val="10"/>
        <rFont val="Arial"/>
        <family val="0"/>
        <charset val="1"/>
      </rPr>
      <t xml:space="preserve">2012-12-29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2026-06-02</t>
    </r>
    <r>
      <rPr>
        <sz val="10"/>
        <rFont val="Noto Sans CJK SC"/>
        <family val="2"/>
      </rPr>
      <t xml:space="preserve">，均在研究期内</t>
    </r>
  </si>
  <si>
    <t xml:space="preserve">Wilson 95% CIs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</si>
  <si>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描述性数字】方法描述；全文检出率区间均按 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法复算（见下）</t>
    </r>
  </si>
  <si>
    <r>
      <rPr>
        <sz val="10"/>
        <rFont val="Noto Sans CJK SC"/>
        <family val="2"/>
      </rPr>
      <t xml:space="preserve">摘要 </t>
    </r>
    <r>
      <rPr>
        <sz val="10"/>
        <rFont val="Arial"/>
        <family val="0"/>
        <charset val="1"/>
      </rPr>
      <t xml:space="preserve">· Results</t>
    </r>
  </si>
  <si>
    <t xml:space="preserve">450 children</t>
  </si>
  <si>
    <r>
      <rPr>
        <sz val="10"/>
        <rFont val="Noto Sans CJK SC"/>
        <family val="2"/>
      </rPr>
      <t xml:space="preserve">【一致】队列 </t>
    </r>
    <r>
      <rPr>
        <sz val="10"/>
        <rFont val="Arial"/>
        <family val="0"/>
        <charset val="1"/>
      </rPr>
      <t xml:space="preserve">450 </t>
    </r>
    <r>
      <rPr>
        <sz val="10"/>
        <rFont val="Noto Sans CJK SC"/>
        <family val="2"/>
      </rPr>
      <t xml:space="preserve">例（</t>
    </r>
    <r>
      <rPr>
        <sz val="10"/>
        <rFont val="Arial"/>
        <family val="0"/>
        <charset val="1"/>
      </rPr>
      <t xml:space="preserve">465 </t>
    </r>
    <r>
      <rPr>
        <sz val="10"/>
        <rFont val="Noto Sans CJK SC"/>
        <family val="2"/>
      </rPr>
      <t xml:space="preserve">例经复核排除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例）</t>
    </r>
  </si>
  <si>
    <t xml:space="preserve">volvulus in 88.2%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</si>
  <si>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397/450 = 88.222%</t>
    </r>
  </si>
  <si>
    <t xml:space="preserve">398 underwent at least one index test</t>
  </si>
  <si>
    <r>
      <rPr>
        <sz val="10"/>
        <rFont val="Noto Sans CJK SC"/>
        <family val="2"/>
      </rPr>
      <t xml:space="preserve">【一致】有索引检查者 </t>
    </r>
    <r>
      <rPr>
        <sz val="10"/>
        <rFont val="Arial"/>
        <family val="0"/>
        <charset val="1"/>
      </rPr>
      <t xml:space="preserve">398 </t>
    </r>
    <r>
      <rPr>
        <sz val="10"/>
        <rFont val="Noto Sans CJK SC"/>
        <family val="2"/>
      </rPr>
      <t xml:space="preserve">例；</t>
    </r>
    <r>
      <rPr>
        <sz val="10"/>
        <rFont val="Arial"/>
        <family val="0"/>
        <charset val="1"/>
      </rPr>
      <t xml:space="preserve">398 + </t>
    </r>
    <r>
      <rPr>
        <sz val="10"/>
        <rFont val="Noto Sans CJK SC"/>
        <family val="2"/>
      </rPr>
      <t xml:space="preserve">无索引检查 </t>
    </r>
    <r>
      <rPr>
        <sz val="10"/>
        <rFont val="Arial"/>
        <family val="0"/>
        <charset val="1"/>
      </rPr>
      <t xml:space="preserve">52 = 450 = </t>
    </r>
    <r>
      <rPr>
        <sz val="10"/>
        <rFont val="Noto Sans CJK SC"/>
        <family val="2"/>
      </rPr>
      <t xml:space="preserve">队列</t>
    </r>
  </si>
  <si>
    <t xml:space="preserve">Three of 117 ultrasound examinations (2.6%, 95% CI 0.9–7.3) documented D3 or DJJ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</si>
  <si>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3/117 = 2.564%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0.88–7.27</t>
    </r>
    <r>
      <rPr>
        <sz val="10"/>
        <rFont val="Noto Sans CJK SC"/>
        <family val="2"/>
      </rPr>
      <t xml:space="preserve">；两位阅读者裁定后编码</t>
    </r>
  </si>
  <si>
    <t xml:space="preserve">3 (2.6%) the mesenteric artery–vein relationship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</si>
  <si>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3/117 = 2.564%</t>
    </r>
  </si>
  <si>
    <t xml:space="preserve">2 (1.7%) enteric fluid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</si>
  <si>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2/117 = 1.709%</t>
    </r>
  </si>
  <si>
    <t xml:space="preserve">a whirlpool sign was reported in 50.4%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</si>
  <si>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59/117 = 50.427%</t>
    </r>
  </si>
  <si>
    <t xml:space="preserve">64 of 117 examinations (54.7%, 45.7–63.4)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</si>
  <si>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64/117 = 54.701%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45.67–63.43</t>
    </r>
  </si>
  <si>
    <t xml:space="preserve">in all 59 recording a whirlpool … and in 5 of 58 without one</t>
  </si>
  <si>
    <r>
      <rPr>
        <sz val="10"/>
        <rFont val="Noto Sans CJK SC"/>
        <family val="2"/>
      </rPr>
      <t xml:space="preserve">【一致】记录漩涡征 </t>
    </r>
    <r>
      <rPr>
        <sz val="10"/>
        <rFont val="Arial"/>
        <family val="0"/>
        <charset val="1"/>
      </rPr>
      <t xml:space="preserve">59/59 </t>
    </r>
    <r>
      <rPr>
        <sz val="10"/>
        <rFont val="Noto Sans CJK SC"/>
        <family val="2"/>
      </rPr>
      <t xml:space="preserve">检出；未记录 </t>
    </r>
    <r>
      <rPr>
        <sz val="10"/>
        <rFont val="Arial"/>
        <family val="0"/>
        <charset val="1"/>
      </rPr>
      <t xml:space="preserve">5/58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59+58=117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59+5=64 </t>
    </r>
    <r>
      <rPr>
        <sz val="10"/>
        <rFont val="Noto Sans CJK SC"/>
        <family val="2"/>
      </rPr>
      <t xml:space="preserve">与总检出一致</t>
    </r>
  </si>
  <si>
    <t xml:space="preserve">whirlpool … in 59 of 112 children with operatively confirmed volvulus</t>
  </si>
  <si>
    <r>
      <rPr>
        <sz val="10"/>
        <rFont val="Noto Sans CJK SC"/>
        <family val="2"/>
      </rPr>
      <t xml:space="preserve">【一致】做超声且术中扭转者 </t>
    </r>
    <r>
      <rPr>
        <sz val="10"/>
        <rFont val="Arial"/>
        <family val="0"/>
        <charset val="1"/>
      </rPr>
      <t xml:space="preserve">112 </t>
    </r>
    <r>
      <rPr>
        <sz val="10"/>
        <rFont val="Noto Sans CJK SC"/>
        <family val="2"/>
      </rPr>
      <t xml:space="preserve">例，其中记录漩涡征 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例；分母为扭转患儿，与上句分母 </t>
    </r>
    <r>
      <rPr>
        <sz val="10"/>
        <rFont val="Arial"/>
        <family val="0"/>
        <charset val="1"/>
      </rPr>
      <t xml:space="preserve">117 </t>
    </r>
    <r>
      <rPr>
        <sz val="10"/>
        <rFont val="Noto Sans CJK SC"/>
        <family val="2"/>
      </rPr>
      <t xml:space="preserve">不同，用法正确</t>
    </r>
  </si>
  <si>
    <t xml:space="preserve">Detection was 53.8% counting only conclusions naming malrotation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</si>
  <si>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63/117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63/117 = 53.846%</t>
    </r>
  </si>
  <si>
    <t xml:space="preserve">25.6% excluding tentative wording</t>
  </si>
  <si>
    <r>
      <rPr>
        <sz val="10"/>
        <rFont val="Noto Sans CJK SC"/>
        <family val="2"/>
      </rPr>
      <t xml:space="preserve">【一致】按合并同日报告（索引单位）的结论复算：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份，</t>
    </r>
    <r>
      <rPr>
        <sz val="10"/>
        <rFont val="Arial"/>
        <family val="0"/>
        <charset val="1"/>
      </rPr>
      <t xml:space="preserve">(64−34)/117 = 30/117 = 25.6%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已由 </t>
    </r>
    <r>
      <rPr>
        <sz val="10"/>
        <rFont val="Arial"/>
        <family val="0"/>
        <charset val="1"/>
      </rPr>
      <t xml:space="preserve">27.4% </t>
    </r>
    <r>
      <rPr>
        <sz val="10"/>
        <rFont val="Noto Sans CJK SC"/>
        <family val="2"/>
      </rPr>
      <t xml:space="preserve">更正）</t>
    </r>
  </si>
  <si>
    <r>
      <rPr>
        <sz val="10"/>
        <rFont val="Noto Sans CJK SC"/>
        <family val="2"/>
      </rPr>
      <t xml:space="preserve">引言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</si>
  <si>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r>
      <rPr>
        <sz val="10"/>
        <rFont val="Arial"/>
        <family val="0"/>
        <charset val="1"/>
      </rPr>
      <t xml:space="preserve">93–97%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17 studies and 2,257 children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pooled sensitivity of 94%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539 children</t>
    </r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</si>
  <si>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[13]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Nguyen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AJR 2025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PMID 40499019</t>
    </r>
    <r>
      <rPr>
        <sz val="10"/>
        <rFont val="Noto Sans CJK SC"/>
        <family val="2"/>
      </rPr>
      <t xml:space="preserve">）摘要：旋转不良敏感度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93%/96%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；扭转敏感度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97%/98%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；最准确的单一征象：</t>
    </r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</rPr>
      <t xml:space="preserve">腹膜内位置对旋转不良（准确度 </t>
    </r>
    <r>
      <rPr>
        <sz val="10"/>
        <rFont val="Arial"/>
        <family val="0"/>
        <charset val="1"/>
      </rPr>
      <t xml:space="preserve">98%</t>
    </r>
    <r>
      <rPr>
        <sz val="10"/>
        <rFont val="Noto Sans CJK SC"/>
        <family val="2"/>
      </rPr>
      <t xml:space="preserve">）、漩涡征对扭转（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）；排除非诊断性与不确定检查。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多次检索一致（含二手综述）；</t>
    </r>
    <r>
      <rPr>
        <sz val="10"/>
        <rFont val="Arial"/>
        <family val="0"/>
        <charset val="1"/>
      </rPr>
      <t xml:space="preserve">AJR/PubMed </t>
    </r>
    <r>
      <rPr>
        <sz val="10"/>
        <rFont val="Noto Sans CJK SC"/>
        <family val="2"/>
      </rPr>
      <t xml:space="preserve">原页因网络策略未能直接打开；文献 </t>
    </r>
    <r>
      <rPr>
        <sz val="10"/>
        <rFont val="Arial"/>
        <family val="0"/>
        <charset val="1"/>
      </rPr>
      <t xml:space="preserve">[11]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Nguyen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Arch Dis Child 2021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项研究、</t>
    </r>
    <r>
      <rPr>
        <sz val="10"/>
        <rFont val="Arial"/>
        <family val="0"/>
        <charset val="1"/>
      </rPr>
      <t xml:space="preserve">2,257 </t>
    </r>
    <r>
      <rPr>
        <sz val="10"/>
        <rFont val="Noto Sans CJK SC"/>
        <family val="2"/>
      </rPr>
      <t xml:space="preserve">例、合并敏感度 </t>
    </r>
    <r>
      <rPr>
        <sz val="10"/>
        <rFont val="Arial"/>
        <family val="0"/>
        <charset val="1"/>
      </rPr>
      <t xml:space="preserve">94%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95% CI 89–97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检索核对；文献 </t>
    </r>
    <r>
      <rPr>
        <sz val="10"/>
        <rFont val="Arial"/>
        <family val="0"/>
        <charset val="1"/>
      </rPr>
      <t xml:space="preserve">[14]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Binu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J Pediatr Surg 2021</t>
    </r>
    <r>
      <rPr>
        <sz val="10"/>
        <rFont val="Noto Sans CJK SC"/>
        <family val="2"/>
      </rPr>
      <t xml:space="preserve">，单中心 </t>
    </r>
    <r>
      <rPr>
        <sz val="10"/>
        <rFont val="Arial"/>
        <family val="0"/>
        <charset val="1"/>
      </rPr>
      <t xml:space="preserve">Adelaide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539 </t>
    </r>
    <r>
      <rPr>
        <sz val="10"/>
        <rFont val="Noto Sans CJK SC"/>
        <family val="2"/>
      </rPr>
      <t xml:space="preserve">例因临床怀疑行超声。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检索核对</t>
    </r>
  </si>
  <si>
    <t xml:space="preserve">The 2020 ACR Appropriateness Criteria … "may be appropriate" … "usually appropriate" … infants older than 2 days [19]</t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</si>
  <si>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[19]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ACR Appropriateness Criteria Vomiting in Infants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J Am Coll Radiol 2020;17(11S):S505-S515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PMID 33153561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Variant 5</t>
    </r>
    <r>
      <rPr>
        <sz val="10"/>
        <rFont val="Noto Sans CJK SC"/>
        <family val="2"/>
      </rPr>
      <t xml:space="preserve">（出生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天后胆汁性呕吐、疑似旋转不良、初始影像）：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造影 </t>
    </r>
    <r>
      <rPr>
        <sz val="10"/>
        <rFont val="Arial"/>
        <family val="0"/>
        <charset val="1"/>
      </rPr>
      <t xml:space="preserve">"Usually Appropriate"</t>
    </r>
    <r>
      <rPr>
        <sz val="10"/>
        <rFont val="Noto Sans CJK SC"/>
        <family val="2"/>
      </rPr>
      <t xml:space="preserve">，超声 </t>
    </r>
    <r>
      <rPr>
        <sz val="10"/>
        <rFont val="Arial"/>
        <family val="0"/>
        <charset val="1"/>
      </rPr>
      <t xml:space="preserve">"May Be Appropriate"</t>
    </r>
    <r>
      <rPr>
        <sz val="10"/>
        <rFont val="Noto Sans CJK SC"/>
        <family val="2"/>
      </rPr>
      <t xml:space="preserve">，腹部平片 </t>
    </r>
    <r>
      <rPr>
        <sz val="10"/>
        <rFont val="Arial"/>
        <family val="0"/>
        <charset val="1"/>
      </rPr>
      <t xml:space="preserve">"May Be Appropriate (Disagreement)"</t>
    </r>
    <r>
      <rPr>
        <sz val="10"/>
        <rFont val="Noto Sans CJK SC"/>
        <family val="2"/>
      </rPr>
      <t xml:space="preserve">，造影灌肠 </t>
    </r>
    <r>
      <rPr>
        <sz val="10"/>
        <rFont val="Arial"/>
        <family val="0"/>
        <charset val="1"/>
      </rPr>
      <t xml:space="preserve">"Usually Not Appropriate"</t>
    </r>
    <r>
      <rPr>
        <sz val="10"/>
        <rFont val="Noto Sans CJK SC"/>
        <family val="2"/>
      </rPr>
      <t xml:space="preserve">。依据：</t>
    </r>
    <r>
      <rPr>
        <sz val="10"/>
        <rFont val="Arial"/>
        <family val="0"/>
        <charset val="1"/>
      </rPr>
      <t xml:space="preserve">ACR AC Search </t>
    </r>
    <r>
      <rPr>
        <sz val="10"/>
        <rFont val="Noto Sans CJK SC"/>
        <family val="2"/>
      </rPr>
      <t xml:space="preserve">评级表摘录，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前后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次检索中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次一致给出上述评级；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条出入的摘要，一条给出的评级（</t>
    </r>
    <r>
      <rPr>
        <sz val="10"/>
        <rFont val="Arial"/>
        <family val="0"/>
        <charset val="1"/>
      </rPr>
      <t xml:space="preserve">UGI "May Be Appropriate"</t>
    </r>
    <r>
      <rPr>
        <sz val="10"/>
        <rFont val="Noto Sans CJK SC"/>
        <family val="2"/>
      </rPr>
      <t xml:space="preserve">、超声 </t>
    </r>
    <r>
      <rPr>
        <sz val="10"/>
        <rFont val="Arial"/>
        <family val="0"/>
        <charset val="1"/>
      </rPr>
      <t xml:space="preserve">"Usually Not Appropriate"</t>
    </r>
    <r>
      <rPr>
        <sz val="10"/>
        <rFont val="Noto Sans CJK SC"/>
        <family val="2"/>
      </rPr>
      <t xml:space="preserve">）恰为 </t>
    </r>
    <r>
      <rPr>
        <sz val="10"/>
        <rFont val="Arial"/>
        <family val="0"/>
        <charset val="1"/>
      </rPr>
      <t xml:space="preserve">Variant 2</t>
    </r>
    <r>
      <rPr>
        <sz val="10"/>
        <rFont val="Noto Sans CJK SC"/>
        <family val="2"/>
      </rPr>
      <t xml:space="preserve">（经典双泡征）的评级，另一条是检索工具的转述、与同批其他来源不符。原文因网络策略（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）无法直接打开，未逐字对照 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"predate most of this evidence"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[11] 2021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[12] 2022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[13] 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[14] 2021 </t>
    </r>
    <r>
      <rPr>
        <sz val="10"/>
        <rFont val="Noto Sans CJK SC"/>
        <family val="2"/>
      </rPr>
      <t xml:space="preserve">均晚于 </t>
    </r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</si>
  <si>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引言 第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</si>
  <si>
    <t xml:space="preserve">13.6 years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</si>
  <si>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月至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月共 </t>
    </r>
    <r>
      <rPr>
        <sz val="10"/>
        <rFont val="Arial"/>
        <family val="0"/>
        <charset val="1"/>
      </rPr>
      <t xml:space="preserve">163 </t>
    </r>
    <r>
      <rPr>
        <sz val="10"/>
        <rFont val="Noto Sans CJK SC"/>
        <family val="2"/>
      </rPr>
      <t xml:space="preserve">个月 </t>
    </r>
    <r>
      <rPr>
        <sz val="10"/>
        <rFont val="Arial"/>
        <family val="0"/>
        <charset val="1"/>
      </rPr>
      <t xml:space="preserve">= 13.58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13.5 </t>
    </r>
    <r>
      <rPr>
        <sz val="10"/>
        <rFont val="Noto Sans CJK SC"/>
        <family val="2"/>
      </rPr>
      <t xml:space="preserve">更正）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</si>
  <si>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设计</t>
    </r>
  </si>
  <si>
    <t xml:space="preserve">STROBE [21]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</si>
  <si>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描述性数字】引文编号，非数据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</si>
  <si>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研究对象</t>
    </r>
  </si>
  <si>
    <t xml:space="preserve">711 children</t>
  </si>
  <si>
    <r>
      <rPr>
        <sz val="10"/>
        <rFont val="Noto Sans CJK SC"/>
        <family val="2"/>
      </rPr>
      <t xml:space="preserve">【一致】原始导出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病案首页基本信息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唯一患者 </t>
    </r>
    <r>
      <rPr>
        <sz val="10"/>
        <rFont val="Arial"/>
        <family val="0"/>
        <charset val="1"/>
      </rPr>
      <t xml:space="preserve">711 </t>
    </r>
    <r>
      <rPr>
        <sz val="10"/>
        <rFont val="Noto Sans CJK SC"/>
        <family val="2"/>
      </rPr>
      <t xml:space="preserve">例；按诊断导出（用户 </t>
    </r>
    <r>
      <rPr>
        <sz val="10"/>
        <rFont val="Arial"/>
        <family val="0"/>
        <charset val="1"/>
      </rPr>
      <t xml:space="preserve">2026-10-09 </t>
    </r>
    <r>
      <rPr>
        <sz val="10"/>
        <rFont val="Noto Sans CJK SC"/>
        <family val="2"/>
      </rPr>
      <t xml:space="preserve">确认）</t>
    </r>
  </si>
  <si>
    <t xml:space="preserve">December 2012 and June 2026</t>
  </si>
  <si>
    <t xml:space="preserve">【一致】同摘要</t>
  </si>
  <si>
    <t xml:space="preserve">559 operative records in 499 children</t>
  </si>
  <si>
    <r>
      <rPr>
        <sz val="10"/>
        <rFont val="Noto Sans CJK SC"/>
        <family val="2"/>
      </rPr>
      <t xml:space="preserve">【一致】手术记录表 </t>
    </r>
    <r>
      <rPr>
        <sz val="10"/>
        <rFont val="Arial"/>
        <family val="0"/>
        <charset val="1"/>
      </rPr>
      <t xml:space="preserve">559 </t>
    </r>
    <r>
      <rPr>
        <sz val="10"/>
        <rFont val="Noto Sans CJK SC"/>
        <family val="2"/>
      </rPr>
      <t xml:space="preserve">条、</t>
    </r>
    <r>
      <rPr>
        <sz val="10"/>
        <rFont val="Arial"/>
        <family val="0"/>
        <charset val="1"/>
      </rPr>
      <t xml:space="preserve">499 </t>
    </r>
    <r>
      <rPr>
        <sz val="10"/>
        <rFont val="Noto Sans CJK SC"/>
        <family val="2"/>
      </rPr>
      <t xml:space="preserve">例</t>
    </r>
  </si>
  <si>
    <t xml:space="preserve">503 records in 465 children</t>
  </si>
  <si>
    <r>
      <rPr>
        <sz val="10"/>
        <rFont val="Noto Sans CJK SC"/>
        <family val="2"/>
      </rPr>
      <t xml:space="preserve">【一致】入选 </t>
    </r>
    <r>
      <rPr>
        <sz val="10"/>
        <rFont val="Arial"/>
        <family val="0"/>
        <charset val="1"/>
      </rPr>
      <t xml:space="preserve">503 </t>
    </r>
    <r>
      <rPr>
        <sz val="10"/>
        <rFont val="Noto Sans CJK SC"/>
        <family val="2"/>
      </rPr>
      <t xml:space="preserve">条、</t>
    </r>
    <r>
      <rPr>
        <sz val="10"/>
        <rFont val="Arial"/>
        <family val="0"/>
        <charset val="1"/>
      </rPr>
      <t xml:space="preserve">465 </t>
    </r>
    <r>
      <rPr>
        <sz val="10"/>
        <rFont val="Noto Sans CJK SC"/>
        <family val="2"/>
      </rPr>
      <t xml:space="preserve">例；未入选 </t>
    </r>
    <r>
      <rPr>
        <sz val="10"/>
        <rFont val="Arial"/>
        <family val="0"/>
        <charset val="1"/>
      </rPr>
      <t xml:space="preserve">56 </t>
    </r>
    <r>
      <rPr>
        <sz val="10"/>
        <rFont val="Noto Sans CJK SC"/>
        <family val="2"/>
      </rPr>
      <t xml:space="preserve">条、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例（</t>
    </r>
    <r>
      <rPr>
        <sz val="10"/>
        <rFont val="Arial"/>
        <family val="0"/>
        <charset val="1"/>
      </rPr>
      <t xml:space="preserve">559−503=56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499−465=34</t>
    </r>
    <r>
      <rPr>
        <sz val="10"/>
        <rFont val="Noto Sans CJK SC"/>
        <family val="2"/>
      </rPr>
      <t xml:space="preserve">）</t>
    </r>
  </si>
  <si>
    <t xml:space="preserve">re-read for 34 children … 19 were retained and 15 excluded, 6 … and 9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</si>
  <si>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核对表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例：保留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、非本次确认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、复发再手术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19+6+9=34</t>
    </r>
  </si>
  <si>
    <t xml:space="preserve">The remaining 450 consecutive children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</si>
  <si>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465 − 15 = 450</t>
    </r>
    <r>
      <rPr>
        <sz val="10"/>
        <rFont val="Noto Sans CJK SC"/>
        <family val="2"/>
      </rPr>
      <t xml:space="preserve">；队列 </t>
    </r>
    <r>
      <rPr>
        <sz val="10"/>
        <rFont val="Arial"/>
        <family val="0"/>
        <charset val="1"/>
      </rPr>
      <t xml:space="preserve">450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</si>
  <si>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索引检查</t>
    </r>
  </si>
  <si>
    <t xml:space="preserve">Three modalities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</si>
  <si>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</t>
    </r>
    <r>
      <rPr>
        <sz val="10"/>
        <rFont val="Arial"/>
        <family val="0"/>
        <charset val="1"/>
      </rPr>
      <t xml:space="preserve">UGI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</t>
    </r>
    <r>
      <rPr>
        <sz val="10"/>
        <rFont val="Noto Sans CJK SC"/>
        <family val="2"/>
      </rPr>
      <t xml:space="preserve">、超声</t>
    </r>
  </si>
  <si>
    <t xml:space="preserve">the 154 same-day reports and the 27 index examinations more than 7 days before operation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</si>
  <si>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</rPr>
      <t xml:space="preserve">核对表：手术当日 </t>
    </r>
    <r>
      <rPr>
        <sz val="10"/>
        <rFont val="Arial"/>
        <family val="0"/>
        <charset val="1"/>
      </rPr>
      <t xml:space="preserve">154 </t>
    </r>
    <r>
      <rPr>
        <sz val="10"/>
        <rFont val="Noto Sans CJK SC"/>
        <family val="2"/>
      </rPr>
      <t xml:space="preserve">份、距术 </t>
    </r>
    <r>
      <rPr>
        <sz val="10"/>
        <rFont val="Arial"/>
        <family val="0"/>
        <charset val="1"/>
      </rPr>
      <t xml:space="preserve">&gt;7 </t>
    </r>
    <r>
      <rPr>
        <sz val="10"/>
        <rFont val="Noto Sans CJK SC"/>
        <family val="2"/>
      </rPr>
      <t xml:space="preserve">天 </t>
    </r>
    <r>
      <rPr>
        <sz val="10"/>
        <rFont val="Arial"/>
        <family val="0"/>
        <charset val="1"/>
      </rPr>
      <t xml:space="preserve">27 </t>
    </r>
    <r>
      <rPr>
        <sz val="10"/>
        <rFont val="Noto Sans CJK SC"/>
        <family val="2"/>
      </rPr>
      <t xml:space="preserve">份（最长 </t>
    </r>
    <r>
      <rPr>
        <sz val="10"/>
        <rFont val="Arial"/>
        <family val="0"/>
        <charset val="1"/>
      </rPr>
      <t xml:space="preserve">374 </t>
    </r>
    <r>
      <rPr>
        <sz val="10"/>
        <rFont val="Noto Sans CJK SC"/>
        <family val="2"/>
      </rPr>
      <t xml:space="preserve">天）。注意这是在排除前 </t>
    </r>
    <r>
      <rPr>
        <sz val="10"/>
        <rFont val="Arial"/>
        <family val="0"/>
        <charset val="1"/>
      </rPr>
      <t xml:space="preserve">465 </t>
    </r>
    <r>
      <rPr>
        <sz val="10"/>
        <rFont val="Noto Sans CJK SC"/>
        <family val="2"/>
      </rPr>
      <t xml:space="preserve">例中核对的数量</t>
    </r>
  </si>
  <si>
    <t xml:space="preserve">three issued after the operation or for an unrelated earlier illness were removed</t>
  </si>
  <si>
    <r>
      <rPr>
        <sz val="10"/>
        <rFont val="Noto Sans CJK SC"/>
        <family val="2"/>
      </rPr>
      <t xml:space="preserve">【一致】术后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无关病程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= 4 </t>
    </r>
    <r>
      <rPr>
        <sz val="10"/>
        <rFont val="Noto Sans CJK SC"/>
        <family val="2"/>
      </rPr>
      <t xml:space="preserve">份；其中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份属 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已排除患儿，队列内实际删除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</t>
    </r>
  </si>
  <si>
    <t xml:space="preserve">723 index examinations from 761 reports; 32 earlier repeat examinations</t>
  </si>
  <si>
    <r>
      <rPr>
        <sz val="10"/>
        <rFont val="Noto Sans CJK SC"/>
        <family val="2"/>
      </rPr>
      <t xml:space="preserve">【一致】索引检查次 </t>
    </r>
    <r>
      <rPr>
        <sz val="10"/>
        <rFont val="Arial"/>
        <family val="0"/>
        <charset val="1"/>
      </rPr>
      <t xml:space="preserve">723 = 293+313+117</t>
    </r>
    <r>
      <rPr>
        <sz val="10"/>
        <rFont val="Noto Sans CJK SC"/>
        <family val="2"/>
      </rPr>
      <t xml:space="preserve">；纳入索引检查次的报告 </t>
    </r>
    <r>
      <rPr>
        <sz val="10"/>
        <rFont val="Arial"/>
        <family val="0"/>
        <charset val="1"/>
      </rPr>
      <t xml:space="preserve">761</t>
    </r>
    <r>
      <rPr>
        <sz val="10"/>
        <rFont val="Noto Sans CJK SC"/>
        <family val="2"/>
      </rPr>
      <t xml:space="preserve">；更早的重复报告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761+32 = 793</t>
    </r>
    <r>
      <rPr>
        <sz val="10"/>
        <rFont val="Noto Sans CJK SC"/>
        <family val="2"/>
      </rPr>
      <t xml:space="preserve">（图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793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</si>
  <si>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内容编码</t>
    </r>
  </si>
  <si>
    <t xml:space="preserve">two readers … twelve elements</t>
  </si>
  <si>
    <r>
      <rPr>
        <sz val="10"/>
        <rFont val="Noto Sans CJK SC"/>
        <family val="2"/>
      </rPr>
      <t xml:space="preserve">【一致】阅读表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个条目；两位阅读者（超声科医师、小儿外科医师，用户确认）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</si>
  <si>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阳性定义</t>
    </r>
  </si>
  <si>
    <t xml:space="preserve">—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</si>
  <si>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描述性数字】本段无数字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</si>
  <si>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复核</t>
    </r>
  </si>
  <si>
    <t xml:space="preserve">adjudicated 32 reports … random sample of 24 … targeted review of 8</t>
  </si>
  <si>
    <r>
      <rPr>
        <sz val="10"/>
        <rFont val="Noto Sans CJK SC"/>
        <family val="2"/>
      </rPr>
      <t xml:space="preserve">【一致】抽查验证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潜在漏判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份（表中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行，其中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行为同一份报告 </t>
    </r>
    <r>
      <rPr>
        <sz val="10"/>
        <rFont val="Arial"/>
        <family val="0"/>
        <charset val="1"/>
      </rPr>
      <t xml:space="preserve">4921963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= 32</t>
    </r>
  </si>
  <si>
    <t xml:space="preserve">agreement was 92% (Cohen kappa 0.83, 95% CI 0.61–1.00)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</si>
  <si>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22/24 = 91.7%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kappa 0.833</t>
    </r>
    <r>
      <rPr>
        <sz val="10"/>
        <rFont val="Noto Sans CJK SC"/>
        <family val="2"/>
      </rPr>
      <t xml:space="preserve">；渐近 </t>
    </r>
    <r>
      <rPr>
        <sz val="10"/>
        <rFont val="Arial"/>
        <family val="0"/>
        <charset val="1"/>
      </rPr>
      <t xml:space="preserve">95% CI 0.61–1.00</t>
    </r>
    <r>
      <rPr>
        <sz val="10"/>
        <rFont val="Noto Sans CJK SC"/>
        <family val="2"/>
      </rPr>
      <t xml:space="preserve">（上限截断为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</si>
  <si>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t xml:space="preserve">found 5 further under-calls</t>
  </si>
  <si>
    <r>
      <rPr>
        <sz val="10"/>
        <rFont val="Noto Sans CJK SC"/>
        <family val="2"/>
      </rPr>
      <t xml:space="preserve">【一致】潜在漏判中医师判阳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份</t>
    </r>
  </si>
  <si>
    <t xml:space="preserve">returned nine positives … three of which … over-calls</t>
  </si>
  <si>
    <r>
      <rPr>
        <sz val="10"/>
        <rFont val="Noto Sans CJK SC"/>
        <family val="2"/>
      </rPr>
      <t xml:space="preserve">【一致】待核清单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例；</t>
    </r>
    <r>
      <rPr>
        <sz val="10"/>
        <rFont val="Arial"/>
        <family val="0"/>
        <charset val="1"/>
      </rPr>
      <t xml:space="preserve">label_corrections.csv </t>
    </r>
    <r>
      <rPr>
        <sz val="10"/>
        <rFont val="Noto Sans CJK SC"/>
        <family val="2"/>
      </rPr>
      <t xml:space="preserve">更正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例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</si>
  <si>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统计</t>
    </r>
  </si>
  <si>
    <t xml:space="preserve">Wilson 95% … era (2012–2018 vs 2019–2026)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</si>
  <si>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描述性数字】分期边界 </t>
    </r>
    <r>
      <rPr>
        <sz val="10"/>
        <rFont val="Arial"/>
        <family val="0"/>
        <charset val="1"/>
      </rPr>
      <t xml:space="preserve">2019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op_year ≥ 2019 </t>
    </r>
    <r>
      <rPr>
        <sz val="10"/>
        <rFont val="Noto Sans CJK SC"/>
        <family val="2"/>
      </rPr>
      <t xml:space="preserve">为后期）</t>
    </r>
  </si>
  <si>
    <t xml:space="preserve">no ultrasound examination was positive among the five children without volvulus</t>
  </si>
  <si>
    <r>
      <rPr>
        <sz val="10"/>
        <rFont val="Noto Sans CJK SC"/>
        <family val="2"/>
      </rPr>
      <t xml:space="preserve">【一致】超声且无扭转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例，检出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例</t>
    </r>
  </si>
  <si>
    <t xml:space="preserve">the era boundary was varied from 2019 to 2022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</si>
  <si>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描述性数字】补充表 </t>
    </r>
    <r>
      <rPr>
        <sz val="10"/>
        <rFont val="Arial"/>
        <family val="0"/>
        <charset val="1"/>
      </rPr>
      <t xml:space="preserve">S8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2019/2020/2021/2022 </t>
    </r>
    <r>
      <rPr>
        <sz val="10"/>
        <rFont val="Noto Sans CJK SC"/>
        <family val="2"/>
      </rPr>
      <t xml:space="preserve">四个边界</t>
    </r>
  </si>
  <si>
    <t xml:space="preserve">Python 3.11 (statsmodels 0.15, SciPy 1.17)</t>
  </si>
  <si>
    <r>
      <rPr>
        <sz val="10"/>
        <rFont val="Noto Sans CJK SC"/>
        <family val="2"/>
      </rPr>
      <t xml:space="preserve">【一致】运行环境：</t>
    </r>
    <r>
      <rPr>
        <sz val="10"/>
        <rFont val="Arial"/>
        <family val="0"/>
        <charset val="1"/>
      </rPr>
      <t xml:space="preserve">Python 3.11.15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statsmodels 0.15.0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SciPy 1.17.1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3.12 </t>
    </r>
    <r>
      <rPr>
        <sz val="10"/>
        <rFont val="Noto Sans CJK SC"/>
        <family val="2"/>
      </rPr>
      <t xml:space="preserve">更正）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</si>
  <si>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队列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</si>
  <si>
    <t xml:space="preserve">450 children, 300 (66.7%) neonates and 397 (88.2%) volvulus</t>
  </si>
  <si>
    <r>
      <rPr>
        <sz val="10"/>
        <rFont val="Noto Sans CJK SC"/>
        <family val="2"/>
      </rPr>
      <t xml:space="preserve">【一致】新生儿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300/450 = 66.667%</t>
    </r>
    <r>
      <rPr>
        <sz val="10"/>
        <rFont val="Noto Sans CJK SC"/>
        <family val="2"/>
      </rPr>
      <t xml:space="preserve">；扭转 </t>
    </r>
    <r>
      <rPr>
        <sz val="10"/>
        <rFont val="Arial"/>
        <family val="0"/>
        <charset val="1"/>
      </rPr>
      <t xml:space="preserve">397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397/450 = 88.222%</t>
    </r>
  </si>
  <si>
    <t xml:space="preserve">UGI 293, CT 313, ultrasound 117; 398 at least one; 59 all three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</si>
  <si>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293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 313</t>
    </r>
    <r>
      <rPr>
        <sz val="10"/>
        <rFont val="Noto Sans CJK SC"/>
        <family val="2"/>
      </rPr>
      <t xml:space="preserve">、超声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；≥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项 </t>
    </r>
    <r>
      <rPr>
        <sz val="10"/>
        <rFont val="Arial"/>
        <family val="0"/>
        <charset val="1"/>
      </rPr>
      <t xml:space="preserve">398</t>
    </r>
    <r>
      <rPr>
        <sz val="10"/>
        <rFont val="Noto Sans CJK SC"/>
        <family val="2"/>
      </rPr>
      <t xml:space="preserve">；三项均做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。三组有重叠，相加 </t>
    </r>
    <r>
      <rPr>
        <sz val="10"/>
        <rFont val="Arial"/>
        <family val="0"/>
        <charset val="1"/>
      </rPr>
      <t xml:space="preserve">723 ≠ 398 </t>
    </r>
    <r>
      <rPr>
        <sz val="10"/>
        <rFont val="Noto Sans CJK SC"/>
        <family val="2"/>
      </rPr>
      <t xml:space="preserve">属正常</t>
    </r>
  </si>
  <si>
    <t xml:space="preserve">The remaining 52 (11.6%) … in four documented before transfer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</si>
  <si>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52 = 450 − 398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52/450 = 11.556%</t>
    </r>
    <r>
      <rPr>
        <sz val="10"/>
        <rFont val="Noto Sans CJK SC"/>
        <family val="2"/>
      </rPr>
      <t xml:space="preserve">；无院内影像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例，均有院外影像记录（</t>
    </r>
    <r>
      <rPr>
        <sz val="10"/>
        <rFont val="Arial"/>
        <family val="0"/>
        <charset val="1"/>
      </rPr>
      <t xml:space="preserve">4/4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</si>
  <si>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队列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</si>
  <si>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t xml:space="preserve">its use rising from 13% to 51% of operated children</t>
  </si>
  <si>
    <r>
      <rPr>
        <sz val="10"/>
        <rFont val="Noto Sans CJK SC"/>
        <family val="2"/>
      </rPr>
      <t xml:space="preserve">【一致】前期 </t>
    </r>
    <r>
      <rPr>
        <sz val="10"/>
        <rFont val="Arial"/>
        <family val="0"/>
        <charset val="1"/>
      </rPr>
      <t xml:space="preserve">38/296 = 12.8%</t>
    </r>
    <r>
      <rPr>
        <sz val="10"/>
        <rFont val="Noto Sans CJK SC"/>
        <family val="2"/>
      </rPr>
      <t xml:space="preserve">；后期 </t>
    </r>
    <r>
      <rPr>
        <sz val="10"/>
        <rFont val="Arial"/>
        <family val="0"/>
        <charset val="1"/>
      </rPr>
      <t xml:space="preserve">79/154 = 51.3%</t>
    </r>
    <r>
      <rPr>
        <sz val="10"/>
        <rFont val="Noto Sans CJK SC"/>
        <family val="2"/>
      </rPr>
      <t xml:space="preserve">（分母为该期全部手术患儿，与表 </t>
    </r>
    <r>
      <rPr>
        <sz val="10"/>
        <rFont val="Arial"/>
        <family val="0"/>
        <charset val="1"/>
      </rPr>
      <t xml:space="preserve">1 "Operated 2019–2026" </t>
    </r>
    <r>
      <rPr>
        <sz val="10"/>
        <rFont val="Noto Sans CJK SC"/>
        <family val="2"/>
      </rPr>
      <t xml:space="preserve">的分母不同）</t>
    </r>
  </si>
  <si>
    <t xml:space="preserve">Ultrasound was performed more often in children with volvulus</t>
  </si>
  <si>
    <r>
      <rPr>
        <sz val="10"/>
        <rFont val="Noto Sans CJK SC"/>
        <family val="2"/>
      </rPr>
      <t xml:space="preserve">【一致】扭转患儿做超声 </t>
    </r>
    <r>
      <rPr>
        <sz val="10"/>
        <rFont val="Arial"/>
        <family val="0"/>
        <charset val="1"/>
      </rPr>
      <t xml:space="preserve">112/397 = 28.2%</t>
    </r>
    <r>
      <rPr>
        <sz val="10"/>
        <rFont val="Noto Sans CJK SC"/>
        <family val="2"/>
      </rPr>
      <t xml:space="preserve">；无扭转 </t>
    </r>
    <r>
      <rPr>
        <sz val="10"/>
        <rFont val="Arial"/>
        <family val="0"/>
        <charset val="1"/>
      </rPr>
      <t xml:space="preserve">5/53 = 9.4%</t>
    </r>
    <r>
      <rPr>
        <sz val="10"/>
        <rFont val="Noto Sans CJK SC"/>
        <family val="2"/>
      </rPr>
      <t xml:space="preserve">（未做检验，描述性）</t>
    </r>
  </si>
  <si>
    <t xml:space="preserve">last preoperative test was the UGI series in 75.0% … ultrasound in 36.8% (39/106) and CT in 19.2% … 80.0% [144/180] vs 70.0% [42/60]</t>
  </si>
  <si>
    <r>
      <rPr>
        <sz val="10"/>
        <rFont val="Noto Sans CJK SC"/>
        <family val="2"/>
      </rPr>
      <t xml:space="preserve">【一致】≥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项索引检查者中：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为最后一项 </t>
    </r>
    <r>
      <rPr>
        <sz val="10"/>
        <rFont val="Arial"/>
        <family val="0"/>
        <charset val="1"/>
      </rPr>
      <t xml:space="preserve">180/240 = 75.0%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47/245 = 19.2%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检出 最后 </t>
    </r>
    <r>
      <rPr>
        <sz val="10"/>
        <rFont val="Arial"/>
        <family val="0"/>
        <charset val="1"/>
      </rPr>
      <t xml:space="preserve">80.0% vs </t>
    </r>
    <r>
      <rPr>
        <sz val="10"/>
        <rFont val="Noto Sans CJK SC"/>
        <family val="2"/>
      </rPr>
      <t xml:space="preserve">较早 </t>
    </r>
    <r>
      <rPr>
        <sz val="10"/>
        <rFont val="Arial"/>
        <family val="0"/>
        <charset val="1"/>
      </rPr>
      <t xml:space="preserve">70.0%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</si>
  <si>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检出率 段</t>
    </r>
  </si>
  <si>
    <t xml:space="preserve">230/293 (78.5%, 73.4–82.8) for UGI series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</si>
  <si>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230/293 = 78.498%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73.44–82.82</t>
    </r>
  </si>
  <si>
    <t xml:space="preserve">165/313 (52.7%, 47.2–58.2) for CT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</si>
  <si>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165/313 = 52.716%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47.19–58.18</t>
    </r>
  </si>
  <si>
    <t xml:space="preserve">64/117 (54.7%, 45.7–63.4) for ultrasound</t>
  </si>
  <si>
    <t xml:space="preserve">In a GEE model adjusted for era and age group, CT and ultrasound remained less often positive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</si>
  <si>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调整 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CT 0.29 (0.20–0.41) P=3e-12</t>
    </r>
    <r>
      <rPr>
        <sz val="10"/>
        <rFont val="Noto Sans CJK SC"/>
        <family val="2"/>
      </rPr>
      <t xml:space="preserve">；超声 </t>
    </r>
    <r>
      <rPr>
        <sz val="10"/>
        <rFont val="Arial"/>
        <family val="0"/>
        <charset val="1"/>
      </rPr>
      <t xml:space="preserve">0.27 (0.17–0.44) P=5e-08</t>
    </r>
    <r>
      <rPr>
        <sz val="10"/>
        <rFont val="Noto Sans CJK SC"/>
        <family val="2"/>
      </rPr>
      <t xml:space="preserve">；文字与 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值一致（同一软件重拟合）</t>
    </r>
  </si>
  <si>
    <t xml:space="preserve">Reclassifying possible-tier conclusions … 50.2%, 32.9% and 25.6%</t>
  </si>
  <si>
    <r>
      <rPr>
        <sz val="10"/>
        <rFont val="Noto Sans CJK SC"/>
        <family val="2"/>
      </rPr>
      <t xml:space="preserve">【一致】按合并检查次结论复算：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UGI 83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 62</t>
    </r>
    <r>
      <rPr>
        <sz val="10"/>
        <rFont val="Noto Sans CJK SC"/>
        <family val="2"/>
      </rPr>
      <t xml:space="preserve">、超声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147/293 = 50.2%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103/313 = 32.9%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30/117 = 25.6%</t>
    </r>
  </si>
  <si>
    <t xml:space="preserve">counting only conclusions that named malrotation gave 77.8%, 48.6% and 53.8%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</si>
  <si>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228/293 = 77.8%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152/313 = 48.6%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63/117 = 53.8%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</si>
  <si>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</si>
  <si>
    <t xml:space="preserve">Of the 117 … three (2.6%; 95% CI 0.9–7.3) D3/DJJ and seven (6.0%) duodenum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</si>
  <si>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D3/DJJ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0.88–7.27</t>
    </r>
    <r>
      <rPr>
        <sz val="10"/>
        <rFont val="Noto Sans CJK SC"/>
        <family val="2"/>
      </rPr>
      <t xml:space="preserve">；十二指肠 </t>
    </r>
    <r>
      <rPr>
        <sz val="10"/>
        <rFont val="Arial"/>
        <family val="0"/>
        <charset val="1"/>
      </rPr>
      <t xml:space="preserve">7/117 = 5.98%</t>
    </r>
  </si>
  <si>
    <t xml:space="preserve">Three (2.6%) … artery–vein relationship, and only one … inverted, one of the two … positivity criteria</t>
  </si>
  <si>
    <r>
      <rPr>
        <sz val="10"/>
        <rFont val="Noto Sans CJK SC"/>
        <family val="2"/>
      </rPr>
      <t xml:space="preserve">【一致】动静脉关系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；换位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；超声阳性标准为漩涡征与换位两项（方法）</t>
    </r>
  </si>
  <si>
    <t xml:space="preserve">Enteric fluid twice, graded compression once; whirlpool 59 (50.4%); bowel gas 36 (30.8%)</t>
  </si>
  <si>
    <r>
      <rPr>
        <sz val="10"/>
        <rFont val="Noto Sans CJK SC"/>
        <family val="2"/>
      </rPr>
      <t xml:space="preserve">【一致】给液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；加压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；漩涡征 </t>
    </r>
    <r>
      <rPr>
        <sz val="10"/>
        <rFont val="Arial"/>
        <family val="0"/>
        <charset val="1"/>
      </rPr>
      <t xml:space="preserve">59 (50.43%)</t>
    </r>
    <r>
      <rPr>
        <sz val="10"/>
        <rFont val="Noto Sans CJK SC"/>
        <family val="2"/>
      </rPr>
      <t xml:space="preserve">；肠气 </t>
    </r>
    <r>
      <rPr>
        <sz val="10"/>
        <rFont val="Arial"/>
        <family val="0"/>
        <charset val="1"/>
      </rPr>
      <t xml:space="preserve">36 (30.77%)</t>
    </r>
  </si>
  <si>
    <t xml:space="preserve">Reader agreement was 1,423 of 1,428 item codes in the 119 episodes read (kappa 0.80–1.00)</t>
  </si>
  <si>
    <r>
      <rPr>
        <sz val="10"/>
        <rFont val="Noto Sans CJK SC"/>
        <family val="2"/>
      </rPr>
      <t xml:space="preserve">【一致】一致 </t>
    </r>
    <r>
      <rPr>
        <sz val="10"/>
        <rFont val="Arial"/>
        <family val="0"/>
        <charset val="1"/>
      </rPr>
      <t xml:space="preserve">1423/1428</t>
    </r>
    <r>
      <rPr>
        <sz val="10"/>
        <rFont val="Noto Sans CJK SC"/>
        <family val="2"/>
      </rPr>
      <t xml:space="preserve">；各项 </t>
    </r>
    <r>
      <rPr>
        <sz val="10"/>
        <rFont val="Arial"/>
        <family val="0"/>
        <charset val="1"/>
      </rPr>
      <t xml:space="preserve">kappa </t>
    </r>
    <r>
      <rPr>
        <sz val="10"/>
        <rFont val="Noto Sans CJK SC"/>
        <family val="2"/>
      </rPr>
      <t xml:space="preserve">最小 </t>
    </r>
    <r>
      <rPr>
        <sz val="10"/>
        <rFont val="Arial"/>
        <family val="0"/>
        <charset val="1"/>
      </rPr>
      <t xml:space="preserve">0.80</t>
    </r>
    <r>
      <rPr>
        <sz val="10"/>
        <rFont val="Noto Sans CJK SC"/>
        <family val="2"/>
      </rPr>
      <t xml:space="preserve">、最大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</si>
  <si>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</si>
  <si>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t xml:space="preserve">Of these three, only one, in 2022, followed D3 between the artery and the aorta and identified the duodenojejunal junction</t>
  </si>
  <si>
    <r>
      <rPr>
        <sz val="10"/>
        <rFont val="Noto Sans CJK SC"/>
        <family val="2"/>
      </rPr>
      <t xml:space="preserve">【一致】记录 </t>
    </r>
    <r>
      <rPr>
        <sz val="10"/>
        <rFont val="Arial"/>
        <family val="0"/>
        <charset val="1"/>
      </rPr>
      <t xml:space="preserve">D3/DJJ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次检查年份 </t>
    </r>
    <r>
      <rPr>
        <sz val="10"/>
        <rFont val="Arial"/>
        <family val="0"/>
        <charset val="1"/>
      </rPr>
      <t xml:space="preserve">[2018, 2022, 2024]</t>
    </r>
    <r>
      <rPr>
        <sz val="10"/>
        <rFont val="Noto Sans CJK SC"/>
        <family val="2"/>
      </rPr>
      <t xml:space="preserve">；记录十二指肠空肠曲的只有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次（</t>
    </r>
    <r>
      <rPr>
        <sz val="10"/>
        <rFont val="Arial"/>
        <family val="0"/>
        <charset val="1"/>
      </rPr>
      <t xml:space="preserve">DJJ 1</t>
    </r>
    <r>
      <rPr>
        <sz val="10"/>
        <rFont val="Noto Sans CJK SC"/>
        <family val="2"/>
      </rPr>
      <t xml:space="preserve">），即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年那次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</si>
  <si>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</t>
    </r>
  </si>
  <si>
    <t xml:space="preserve">all 59 … 5 of the 58 without one (8.6%, 95% CI 3.7–18.6); all 59 conclusions also named malrotation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</si>
  <si>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5/58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5/58 = 8.62%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3.74–18.64</t>
    </r>
    <r>
      <rPr>
        <sz val="10"/>
        <rFont val="Noto Sans CJK SC"/>
        <family val="2"/>
      </rPr>
      <t xml:space="preserve">；记录漩涡征且结论点名旋转不良 </t>
    </r>
    <r>
      <rPr>
        <sz val="10"/>
        <rFont val="Arial"/>
        <family val="0"/>
        <charset val="1"/>
      </rPr>
      <t xml:space="preserve">59/59</t>
    </r>
  </si>
  <si>
    <t xml:space="preserve">whirlpool … in 59 of the 112 children (52.7%) who underwent ultrasound and in whom operation confirmed midgut volvulus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</si>
  <si>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59/112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52.68%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</si>
  <si>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时间趋势</t>
    </r>
  </si>
  <si>
    <t xml:space="preserve">ultrasound 42.1% (16/38) in 2012–2018 and 60.8% (48/79) in 2019–2026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</si>
  <si>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16/38 = 42.11%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48/79 = 60.76%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38+79 = 117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16+48 = 64</t>
    </r>
  </si>
  <si>
    <t xml:space="preserve">+18.7 percentage points whose 95% CI (−0.2 to +37.7) includes zero</t>
  </si>
  <si>
    <r>
      <rPr>
        <sz val="10"/>
        <rFont val="Noto Sans CJK SC"/>
        <family val="2"/>
      </rPr>
      <t xml:space="preserve">【一致】自写 </t>
    </r>
    <r>
      <rPr>
        <sz val="10"/>
        <rFont val="Arial"/>
        <family val="0"/>
        <charset val="1"/>
      </rPr>
      <t xml:space="preserve">logistic </t>
    </r>
    <r>
      <rPr>
        <sz val="10"/>
        <rFont val="Noto Sans CJK SC"/>
        <family val="2"/>
      </rPr>
      <t xml:space="preserve">的平均边际效应 </t>
    </r>
    <r>
      <rPr>
        <sz val="10"/>
        <rFont val="Arial"/>
        <family val="0"/>
        <charset val="1"/>
      </rPr>
      <t xml:space="preserve">+18.65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</t>
    </r>
    <r>
      <rPr>
        <sz val="10"/>
        <rFont val="Noto Sans CJK SC"/>
        <family val="2"/>
      </rPr>
      <t xml:space="preserve">区间 </t>
    </r>
    <r>
      <rPr>
        <sz val="10"/>
        <rFont val="Arial"/>
        <family val="0"/>
        <charset val="1"/>
      </rPr>
      <t xml:space="preserve">-0.22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+37.71</t>
    </r>
    <r>
      <rPr>
        <sz val="10"/>
        <rFont val="Noto Sans CJK SC"/>
        <family val="2"/>
      </rPr>
      <t xml:space="preserve">（原程序固定种子，</t>
    </r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次）；</t>
    </r>
    <r>
      <rPr>
        <sz val="10"/>
        <rFont val="Arial"/>
        <family val="0"/>
        <charset val="1"/>
      </rPr>
      <t xml:space="preserve">"includes zero"</t>
    </r>
    <r>
      <rPr>
        <sz val="10"/>
        <rFont val="Noto Sans CJK SC"/>
        <family val="2"/>
      </rPr>
      <t xml:space="preserve">与区间一致；粗 </t>
    </r>
    <r>
      <rPr>
        <sz val="10"/>
        <rFont val="Arial"/>
        <family val="0"/>
        <charset val="1"/>
      </rPr>
      <t xml:space="preserve">OR P = 0.060</t>
    </r>
    <r>
      <rPr>
        <sz val="10"/>
        <rFont val="Noto Sans CJK SC"/>
        <family val="2"/>
      </rPr>
      <t xml:space="preserve">，亦不显著</t>
    </r>
  </si>
  <si>
    <t xml:space="preserve">CT detection rose (odds ratio 2.27, 1.38–3.72), whereas the UGI estimate was imprecise (+5.1 percentage points, −4.7 to +15.0; Table 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</si>
  <si>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CT </t>
    </r>
    <r>
      <rPr>
        <sz val="10"/>
        <rFont val="Noto Sans CJK SC"/>
        <family val="2"/>
      </rPr>
      <t xml:space="preserve">粗 </t>
    </r>
    <r>
      <rPr>
        <sz val="10"/>
        <rFont val="Arial"/>
        <family val="0"/>
        <charset val="1"/>
      </rPr>
      <t xml:space="preserve">OR 2.265 (1.378–3.725)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= 0.001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粗平均边际效应 </t>
    </r>
    <r>
      <rPr>
        <sz val="10"/>
        <rFont val="Arial"/>
        <family val="0"/>
        <charset val="1"/>
      </rPr>
      <t xml:space="preserve">+5.06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bootstrap </t>
    </r>
    <r>
      <rPr>
        <sz val="10"/>
        <rFont val="Noto Sans CJK SC"/>
        <family val="2"/>
      </rPr>
      <t xml:space="preserve">区间 </t>
    </r>
    <r>
      <rPr>
        <sz val="10"/>
        <rFont val="Arial"/>
        <family val="0"/>
        <charset val="1"/>
      </rPr>
      <t xml:space="preserve">-4.74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+15.03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粗 </t>
    </r>
    <r>
      <rPr>
        <sz val="10"/>
        <rFont val="Arial"/>
        <family val="0"/>
        <charset val="1"/>
      </rPr>
      <t xml:space="preserve">OR 1.37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= 0.333</t>
    </r>
    <r>
      <rPr>
        <sz val="10"/>
        <rFont val="Noto Sans CJK SC"/>
        <family val="2"/>
      </rPr>
      <t xml:space="preserve">；原文</t>
    </r>
    <r>
      <rPr>
        <sz val="10"/>
        <rFont val="Arial"/>
        <family val="0"/>
        <charset val="1"/>
      </rPr>
      <t xml:space="preserve">"UGI did not"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值推出，已改为给出估计值和区间</t>
    </r>
  </si>
  <si>
    <t xml:space="preserve">great-vessel study rose from 34.2% to 68.4%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</si>
  <si>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13/38 = 34.21%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54/79 = 68.35%</t>
    </r>
  </si>
  <si>
    <t xml:space="preserve">reduced the ultrasound difference to +8.4 (−10.6 to +29.2)</t>
  </si>
  <si>
    <r>
      <rPr>
        <sz val="10"/>
        <rFont val="Noto Sans CJK SC"/>
        <family val="2"/>
      </rPr>
      <t xml:space="preserve">【一致】调整后平均边际效应 </t>
    </r>
    <r>
      <rPr>
        <sz val="10"/>
        <rFont val="Arial"/>
        <family val="0"/>
        <charset val="1"/>
      </rPr>
      <t xml:space="preserve">+8.35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-10.61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+29.16</t>
    </r>
  </si>
  <si>
    <t xml:space="preserve">Whirlpool reporting rose from 39.5% to 55.7%; D3/DJJ … one of 38 and two of 79 examinations</t>
  </si>
  <si>
    <r>
      <rPr>
        <sz val="10"/>
        <rFont val="Noto Sans CJK SC"/>
        <family val="2"/>
      </rPr>
      <t xml:space="preserve">【一致】漩涡征 前期 </t>
    </r>
    <r>
      <rPr>
        <sz val="10"/>
        <rFont val="Arial"/>
        <family val="0"/>
        <charset val="1"/>
      </rPr>
      <t xml:space="preserve">15/38 = 39.47%</t>
    </r>
    <r>
      <rPr>
        <sz val="10"/>
        <rFont val="Noto Sans CJK SC"/>
        <family val="2"/>
      </rPr>
      <t xml:space="preserve">，后期 </t>
    </r>
    <r>
      <rPr>
        <sz val="10"/>
        <rFont val="Arial"/>
        <family val="0"/>
        <charset val="1"/>
      </rPr>
      <t xml:space="preserve">44/79 = 55.70%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D3/DJJ 1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</si>
  <si>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亚组</t>
    </r>
  </si>
  <si>
    <t xml:space="preserve">Fifty-nine … other 339 imaged children (volvulus 96.6% vs 87.9%; neonates 83.1% vs 67.3%)</t>
  </si>
  <si>
    <r>
      <rPr>
        <sz val="10"/>
        <rFont val="Noto Sans CJK SC"/>
        <family val="2"/>
      </rPr>
      <t xml:space="preserve">【一致】三项均做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，其余 </t>
    </r>
    <r>
      <rPr>
        <sz val="10"/>
        <rFont val="Arial"/>
        <family val="0"/>
        <charset val="1"/>
      </rPr>
      <t xml:space="preserve">339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59+339 = 398</t>
    </r>
    <r>
      <rPr>
        <sz val="10"/>
        <rFont val="Noto Sans CJK SC"/>
        <family val="2"/>
      </rPr>
      <t xml:space="preserve">）；扭转 </t>
    </r>
    <r>
      <rPr>
        <sz val="10"/>
        <rFont val="Arial"/>
        <family val="0"/>
        <charset val="1"/>
      </rPr>
      <t xml:space="preserve">96.61% vs 87.91%</t>
    </r>
    <r>
      <rPr>
        <sz val="10"/>
        <rFont val="Noto Sans CJK SC"/>
        <family val="2"/>
      </rPr>
      <t xml:space="preserve">；新生儿 </t>
    </r>
    <r>
      <rPr>
        <sz val="10"/>
        <rFont val="Arial"/>
        <family val="0"/>
        <charset val="1"/>
      </rPr>
      <t xml:space="preserve">83.05% vs 67.26%</t>
    </r>
  </si>
  <si>
    <t xml:space="preserve">positive in 76.3%, 52.5%, 45.8% (Cochran Q test, P &lt; .001)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</si>
  <si>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45/59 = 76.27%</t>
    </r>
    <r>
      <rPr>
        <sz val="10"/>
        <rFont val="Noto Sans CJK SC"/>
        <family val="2"/>
      </rPr>
      <t xml:space="preserve">；超声 </t>
    </r>
    <r>
      <rPr>
        <sz val="10"/>
        <rFont val="Arial"/>
        <family val="0"/>
        <charset val="1"/>
      </rPr>
      <t xml:space="preserve">31/59 = 52.54%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27/59 = 45.76%</t>
    </r>
    <r>
      <rPr>
        <sz val="10"/>
        <rFont val="Noto Sans CJK SC"/>
        <family val="2"/>
      </rPr>
      <t xml:space="preserve">；自算 </t>
    </r>
    <r>
      <rPr>
        <sz val="10"/>
        <rFont val="Arial"/>
        <family val="0"/>
        <charset val="1"/>
      </rPr>
      <t xml:space="preserve">Cochran Q = 14.49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= 0.0007</t>
    </r>
  </si>
  <si>
    <t xml:space="preserve">UGI minus CT +30.5 (95% CI +13.6 to +47.5); CT minus ultrasound −6.8 (−20.3 to +8.5)</t>
  </si>
  <si>
    <r>
      <rPr>
        <sz val="10"/>
        <rFont val="Noto Sans CJK SC"/>
        <family val="2"/>
      </rPr>
      <t xml:space="preserve">【一致】差值 </t>
    </r>
    <r>
      <rPr>
        <sz val="10"/>
        <rFont val="Arial"/>
        <family val="0"/>
        <charset val="1"/>
      </rPr>
      <t xml:space="preserve">+30.51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-6.78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</t>
    </r>
    <r>
      <rPr>
        <sz val="10"/>
        <rFont val="Noto Sans CJK SC"/>
        <family val="2"/>
      </rPr>
      <t xml:space="preserve">区间 </t>
    </r>
    <r>
      <rPr>
        <sz val="10"/>
        <rFont val="Arial"/>
        <family val="0"/>
        <charset val="1"/>
      </rPr>
      <t xml:space="preserve">+30.5 (+13.6 to +47.5)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-6.8 (-20.3 to +8.5)</t>
    </r>
    <r>
      <rPr>
        <sz val="10"/>
        <rFont val="Noto Sans CJK SC"/>
        <family val="2"/>
      </rPr>
      <t xml:space="preserve">（原程序固定种子）</t>
    </r>
  </si>
  <si>
    <t xml:space="preserve">with the same ordering when all three examinations fell within 48 h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</si>
  <si>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48 h </t>
    </r>
    <r>
      <rPr>
        <sz val="10"/>
        <rFont val="Noto Sans CJK SC"/>
        <family val="2"/>
      </rPr>
      <t xml:space="preserve">内 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例：</t>
    </r>
    <r>
      <rPr>
        <sz val="10"/>
        <rFont val="Arial"/>
        <family val="0"/>
        <charset val="1"/>
      </rPr>
      <t xml:space="preserve">UGI 39</t>
    </r>
    <r>
      <rPr>
        <sz val="10"/>
        <rFont val="Noto Sans CJK SC"/>
        <family val="2"/>
      </rPr>
      <t xml:space="preserve">、超声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 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Cochran Q P = 0.0006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vs CT P = 0.002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CT vs </t>
    </r>
    <r>
      <rPr>
        <sz val="10"/>
        <rFont val="Noto Sans CJK SC"/>
        <family val="2"/>
      </rPr>
      <t xml:space="preserve">超声 </t>
    </r>
    <r>
      <rPr>
        <sz val="10"/>
        <rFont val="Arial"/>
        <family val="0"/>
        <charset val="1"/>
      </rPr>
      <t xml:space="preserve">P = 0.267</t>
    </r>
    <r>
      <rPr>
        <sz val="10"/>
        <rFont val="Noto Sans CJK SC"/>
        <family val="2"/>
      </rPr>
      <t xml:space="preserve">；顺序相同（</t>
    </r>
    <r>
      <rPr>
        <sz val="10"/>
        <rFont val="Arial"/>
        <family val="0"/>
        <charset val="1"/>
      </rPr>
      <t xml:space="preserve">UGI &gt; </t>
    </r>
    <r>
      <rPr>
        <sz val="10"/>
        <rFont val="Noto Sans CJK SC"/>
        <family val="2"/>
      </rPr>
      <t xml:space="preserve">超声 </t>
    </r>
    <r>
      <rPr>
        <sz val="10"/>
        <rFont val="Arial"/>
        <family val="0"/>
        <charset val="1"/>
      </rPr>
      <t xml:space="preserve">&gt; CT </t>
    </r>
    <r>
      <rPr>
        <sz val="10"/>
        <rFont val="Noto Sans CJK SC"/>
        <family val="2"/>
      </rPr>
      <t xml:space="preserve">在全部 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例与 </t>
    </r>
    <r>
      <rPr>
        <sz val="10"/>
        <rFont val="Arial"/>
        <family val="0"/>
        <charset val="1"/>
      </rPr>
      <t xml:space="preserve">48 h </t>
    </r>
    <r>
      <rPr>
        <sz val="10"/>
        <rFont val="Noto Sans CJK SC"/>
        <family val="2"/>
      </rPr>
      <t xml:space="preserve">内 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例中一致）</t>
    </r>
  </si>
  <si>
    <t xml:space="preserve">Only 5 of the 53 children … no volvulus underwent ultrasound, and none had a positive report</t>
  </si>
  <si>
    <r>
      <rPr>
        <sz val="10"/>
        <rFont val="Noto Sans CJK SC"/>
        <family val="2"/>
      </rPr>
      <t xml:space="preserve">【一致】无扭转 </t>
    </r>
    <r>
      <rPr>
        <sz val="10"/>
        <rFont val="Arial"/>
        <family val="0"/>
        <charset val="1"/>
      </rPr>
      <t xml:space="preserve">53 </t>
    </r>
    <r>
      <rPr>
        <sz val="10"/>
        <rFont val="Noto Sans CJK SC"/>
        <family val="2"/>
      </rPr>
      <t xml:space="preserve">例（</t>
    </r>
    <r>
      <rPr>
        <sz val="10"/>
        <rFont val="Arial"/>
        <family val="0"/>
        <charset val="1"/>
      </rPr>
      <t xml:space="preserve">450−397</t>
    </r>
    <r>
      <rPr>
        <sz val="10"/>
        <rFont val="Noto Sans CJK SC"/>
        <family val="2"/>
      </rPr>
      <t xml:space="preserve">）；其中做超声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，检出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</si>
  <si>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</si>
  <si>
    <t xml:space="preserve">Over 13.6 years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</si>
  <si>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163 </t>
    </r>
    <r>
      <rPr>
        <sz val="10"/>
        <rFont val="Noto Sans CJK SC"/>
        <family val="2"/>
      </rPr>
      <t xml:space="preserve">个月 </t>
    </r>
    <r>
      <rPr>
        <sz val="10"/>
        <rFont val="Arial"/>
        <family val="0"/>
        <charset val="1"/>
      </rPr>
      <t xml:space="preserve">= 13.58 </t>
    </r>
    <r>
      <rPr>
        <sz val="10"/>
        <rFont val="Noto Sans CJK SC"/>
        <family val="2"/>
      </rPr>
      <t xml:space="preserve">年</t>
    </r>
  </si>
  <si>
    <t xml:space="preserve">three of 117 examinations, enteric fluid in two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</si>
  <si>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D3/DJJ 3</t>
    </r>
    <r>
      <rPr>
        <sz val="10"/>
        <rFont val="Noto Sans CJK SC"/>
        <family val="2"/>
      </rPr>
      <t xml:space="preserve">；给液 </t>
    </r>
    <r>
      <rPr>
        <sz val="10"/>
        <rFont val="Arial"/>
        <family val="0"/>
        <charset val="1"/>
      </rPr>
      <t xml:space="preserve">2</t>
    </r>
  </si>
  <si>
    <t xml:space="preserve">about half of all examinations and of the children in whom operation confirmed volvulus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</si>
  <si>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59/117 = 50.4%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59/112 = 52.7%</t>
    </r>
  </si>
  <si>
    <t xml:space="preserve">Positive reports almost always described a whirlpool (59 of 64)</t>
  </si>
  <si>
    <r>
      <rPr>
        <sz val="10"/>
        <rFont val="Noto Sans CJK SC"/>
        <family val="2"/>
      </rPr>
      <t xml:space="preserve">【一致】阳性超声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；其中记录漩涡征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，且记录漩涡征的 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次全部为阳性 </t>
    </r>
    <r>
      <rPr>
        <sz val="10"/>
        <rFont val="Arial"/>
        <family val="0"/>
        <charset val="1"/>
      </rPr>
      <t xml:space="preserve">59/59</t>
    </r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</si>
  <si>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</si>
  <si>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t xml:space="preserve">54.7%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</si>
  <si>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64/117 = 54.70%</t>
    </r>
  </si>
  <si>
    <t xml:space="preserve">93–97% for malrotation and 97% for volvulus … 2025 multicenter series [13]; pooled 94% [11]</t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</si>
  <si>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[13]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Nguyen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AJR 2025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PMID 40499019</t>
    </r>
    <r>
      <rPr>
        <sz val="10"/>
        <rFont val="Noto Sans CJK SC"/>
        <family val="2"/>
      </rPr>
      <t xml:space="preserve">）摘要：旋转不良敏感度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93%/96%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；扭转敏感度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特异度 原始报告 </t>
    </r>
    <r>
      <rPr>
        <sz val="10"/>
        <rFont val="Arial"/>
        <family val="0"/>
        <charset val="1"/>
      </rPr>
      <t xml:space="preserve">97%/98%</t>
    </r>
    <r>
      <rPr>
        <sz val="10"/>
        <rFont val="Noto Sans CJK SC"/>
        <family val="2"/>
      </rPr>
      <t xml:space="preserve">、盲法复读 </t>
    </r>
    <r>
      <rPr>
        <sz val="10"/>
        <rFont val="Arial"/>
        <family val="0"/>
        <charset val="1"/>
      </rPr>
      <t xml:space="preserve">97%/99%</t>
    </r>
    <r>
      <rPr>
        <sz val="10"/>
        <rFont val="Noto Sans CJK SC"/>
        <family val="2"/>
      </rPr>
      <t xml:space="preserve">；最准确的单一征象：</t>
    </r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</rPr>
      <t xml:space="preserve">腹膜内位置对旋转不良（准确度 </t>
    </r>
    <r>
      <rPr>
        <sz val="10"/>
        <rFont val="Arial"/>
        <family val="0"/>
        <charset val="1"/>
      </rPr>
      <t xml:space="preserve">98%</t>
    </r>
    <r>
      <rPr>
        <sz val="10"/>
        <rFont val="Noto Sans CJK SC"/>
        <family val="2"/>
      </rPr>
      <t xml:space="preserve">）、漩涡征对扭转（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）；排除非诊断性与不确定检查。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多次检索一致（含二手综述）；</t>
    </r>
    <r>
      <rPr>
        <sz val="10"/>
        <rFont val="Arial"/>
        <family val="0"/>
        <charset val="1"/>
      </rPr>
      <t xml:space="preserve">AJR/PubMed </t>
    </r>
    <r>
      <rPr>
        <sz val="10"/>
        <rFont val="Noto Sans CJK SC"/>
        <family val="2"/>
      </rPr>
      <t xml:space="preserve">原页因网络策略未能直接打开；文献 </t>
    </r>
    <r>
      <rPr>
        <sz val="10"/>
        <rFont val="Arial"/>
        <family val="0"/>
        <charset val="1"/>
      </rPr>
      <t xml:space="preserve">[11]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Nguyen </t>
    </r>
    <r>
      <rPr>
        <sz val="10"/>
        <rFont val="Noto Sans CJK SC"/>
        <family val="2"/>
      </rPr>
      <t xml:space="preserve">等，</t>
    </r>
    <r>
      <rPr>
        <sz val="10"/>
        <rFont val="Arial"/>
        <family val="0"/>
        <charset val="1"/>
      </rPr>
      <t xml:space="preserve">Arch Dis Child 2021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项研究、</t>
    </r>
    <r>
      <rPr>
        <sz val="10"/>
        <rFont val="Arial"/>
        <family val="0"/>
        <charset val="1"/>
      </rPr>
      <t xml:space="preserve">2,257 </t>
    </r>
    <r>
      <rPr>
        <sz val="10"/>
        <rFont val="Noto Sans CJK SC"/>
        <family val="2"/>
      </rPr>
      <t xml:space="preserve">例、合并敏感度 </t>
    </r>
    <r>
      <rPr>
        <sz val="10"/>
        <rFont val="Arial"/>
        <family val="0"/>
        <charset val="1"/>
      </rPr>
      <t xml:space="preserve">94%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95% CI 89–97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检索核对</t>
    </r>
  </si>
  <si>
    <t xml:space="preserve">25.7% of examinations for malrotation were non-diagnostic [27]</t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</si>
  <si>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[27]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80/311 = 25.7%</t>
    </r>
    <r>
      <rPr>
        <sz val="10"/>
        <rFont val="Noto Sans CJK SC"/>
        <family val="2"/>
      </rPr>
      <t xml:space="preserve">（原始报告；盲法复读 </t>
    </r>
    <r>
      <rPr>
        <sz val="10"/>
        <rFont val="Arial"/>
        <family val="0"/>
        <charset val="1"/>
      </rPr>
      <t xml:space="preserve">37.6%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2026-10-09 </t>
    </r>
    <r>
      <rPr>
        <sz val="10"/>
        <rFont val="Noto Sans CJK SC"/>
        <family val="2"/>
      </rPr>
      <t xml:space="preserve">已检索 </t>
    </r>
    <r>
      <rPr>
        <sz val="10"/>
        <rFont val="Arial"/>
        <family val="0"/>
        <charset val="1"/>
      </rPr>
      <t xml:space="preserve">Springer/PubMed </t>
    </r>
    <r>
      <rPr>
        <sz val="10"/>
        <rFont val="Noto Sans CJK SC"/>
        <family val="2"/>
      </rPr>
      <t xml:space="preserve">摘要核对</t>
    </r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</si>
  <si>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</t>
    </r>
  </si>
  <si>
    <t xml:space="preserve">Two features … the last preoperative test in 75.0% of children who had it with another index test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</si>
  <si>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180/240 = 75.00%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两个特征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为描述性计数（参考标准不独立［含 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常为最后一项检查］、各检查用于不同人群；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"Three" </t>
    </r>
    <r>
      <rPr>
        <sz val="10"/>
        <rFont val="Noto Sans CJK SC"/>
        <family val="2"/>
      </rPr>
      <t xml:space="preserve">更正，因路径位置一句早已并入第一项）</t>
    </r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</si>
  <si>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段</t>
    </r>
  </si>
  <si>
    <t xml:space="preserve">revisions of the 2020 ACR guidance [19]</t>
  </si>
  <si>
    <r>
      <rPr>
        <sz val="10"/>
        <rFont val="Noto Sans CJK SC"/>
        <family val="2"/>
      </rPr>
      <t xml:space="preserve">讨论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局限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</si>
  <si>
    <t xml:space="preserve">The 52 children without an index test … as were 9 … from 88.2% to 84.0%</t>
  </si>
  <si>
    <r>
      <rPr>
        <sz val="10"/>
        <rFont val="Noto Sans CJK SC"/>
        <family val="2"/>
      </rPr>
      <t xml:space="preserve">【一致】无索引检查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；复发再手术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；扭转 </t>
    </r>
    <r>
      <rPr>
        <sz val="10"/>
        <rFont val="Arial"/>
        <family val="0"/>
        <charset val="1"/>
      </rPr>
      <t xml:space="preserve">397/450 = 88.22% → 378/450 = 84.00%</t>
    </r>
  </si>
  <si>
    <r>
      <rPr>
        <sz val="10"/>
        <rFont val="Arial"/>
        <family val="0"/>
        <charset val="1"/>
      </rPr>
      <t xml:space="preserve">Take-Home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条</t>
    </r>
  </si>
  <si>
    <t xml:space="preserve">(96% with volvulus) … 2.6% of 117 examinations</t>
  </si>
  <si>
    <r>
      <rPr>
        <sz val="10"/>
        <rFont val="Noto Sans CJK SC"/>
        <family val="2"/>
      </rPr>
      <t xml:space="preserve">【一致】超声组扭转 </t>
    </r>
    <r>
      <rPr>
        <sz val="10"/>
        <rFont val="Arial"/>
        <family val="0"/>
        <charset val="1"/>
      </rPr>
      <t xml:space="preserve">112/117 = 95.7%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D3/DJJ 3/117 = 2.56%</t>
    </r>
  </si>
  <si>
    <r>
      <rPr>
        <sz val="10"/>
        <rFont val="Arial"/>
        <family val="0"/>
        <charset val="1"/>
      </rPr>
      <t xml:space="preserve">Take-Home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条</t>
    </r>
  </si>
  <si>
    <t xml:space="preserve">(59 of 64) … 59 of the 112 ultrasound-examined children</t>
  </si>
  <si>
    <r>
      <rPr>
        <sz val="10"/>
        <rFont val="Noto Sans CJK SC"/>
        <family val="2"/>
      </rPr>
      <t xml:space="preserve">【一致】同讨论第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段与结果：阳性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，其中漩涡征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；做超声且术中扭转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，其中漩涡征 </t>
    </r>
    <r>
      <rPr>
        <sz val="10"/>
        <rFont val="Arial"/>
        <family val="0"/>
        <charset val="1"/>
      </rPr>
      <t xml:space="preserve">59</t>
    </r>
  </si>
  <si>
    <r>
      <rPr>
        <sz val="10"/>
        <rFont val="Noto Sans CJK SC"/>
        <family val="2"/>
      </rPr>
      <t xml:space="preserve">补充材料说明 </t>
    </r>
    <r>
      <rPr>
        <sz val="10"/>
        <rFont val="Arial"/>
        <family val="0"/>
        <charset val="1"/>
      </rPr>
      <t xml:space="preserve">· Supplement 1</t>
    </r>
  </si>
  <si>
    <t xml:space="preserve">reproduces 99.0% … the 92% above</t>
  </si>
  <si>
    <r>
      <rPr>
        <sz val="10"/>
        <rFont val="Noto Sans CJK SC"/>
        <family val="2"/>
      </rPr>
      <t xml:space="preserve">【一致】参考实现与最终标签一致 </t>
    </r>
    <r>
      <rPr>
        <sz val="10"/>
        <rFont val="Arial"/>
        <family val="0"/>
        <charset val="1"/>
      </rPr>
      <t xml:space="preserve">716/723 = 99.03%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92% </t>
    </r>
    <r>
      <rPr>
        <sz val="10"/>
        <rFont val="Noto Sans CJK SC"/>
        <family val="2"/>
      </rPr>
      <t xml:space="preserve">见方法</t>
    </r>
  </si>
  <si>
    <r>
      <rPr>
        <sz val="10"/>
        <rFont val="Noto Sans CJK SC"/>
        <family val="2"/>
      </rPr>
      <t xml:space="preserve">补充材料说明 </t>
    </r>
    <r>
      <rPr>
        <sz val="10"/>
        <rFont val="Arial"/>
        <family val="0"/>
        <charset val="1"/>
      </rPr>
      <t xml:space="preserve">· Supplement 2</t>
    </r>
  </si>
  <si>
    <t xml:space="preserve">48-h and 24-h … 2019 to 2022 … 360°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</si>
  <si>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描述性数字】定义性数字，与补充材料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一致</t>
    </r>
  </si>
  <si>
    <r>
      <rPr>
        <sz val="10"/>
        <rFont val="Noto Sans CJK SC"/>
        <family val="2"/>
      </rPr>
      <t xml:space="preserve">补充材料说明 </t>
    </r>
    <r>
      <rPr>
        <sz val="10"/>
        <rFont val="Arial"/>
        <family val="0"/>
        <charset val="1"/>
      </rPr>
      <t xml:space="preserve">· Supplement 3</t>
    </r>
  </si>
  <si>
    <t xml:space="preserve">313 CT and 293 UGI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</si>
  <si>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CT 313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UGI 293</t>
    </r>
  </si>
  <si>
    <r>
      <rPr>
        <sz val="10"/>
        <rFont val="Noto Sans CJK SC"/>
        <family val="2"/>
      </rPr>
      <t xml:space="preserve">图注 </t>
    </r>
    <r>
      <rPr>
        <sz val="10"/>
        <rFont val="Arial"/>
        <family val="0"/>
        <charset val="1"/>
      </rPr>
      <t xml:space="preserve">· Figure 1</t>
    </r>
  </si>
  <si>
    <t xml:space="preserve">711 … 503 … 465 … 793 … 723 … 52 … four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</si>
  <si>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503/465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793→723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</si>
  <si>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图注 </t>
    </r>
    <r>
      <rPr>
        <sz val="10"/>
        <rFont val="Arial"/>
        <family val="0"/>
        <charset val="1"/>
      </rPr>
      <t xml:space="preserve">· Figure 2</t>
    </r>
  </si>
  <si>
    <t xml:space="preserve">Wilson 95% confidence intervals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</si>
  <si>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描述性数字】定义</t>
    </r>
  </si>
  <si>
    <r>
      <rPr>
        <sz val="10"/>
        <rFont val="Noto Sans CJK SC"/>
        <family val="2"/>
      </rPr>
      <t xml:space="preserve">图注 </t>
    </r>
    <r>
      <rPr>
        <sz val="10"/>
        <rFont val="Arial"/>
        <family val="0"/>
        <charset val="1"/>
      </rPr>
      <t xml:space="preserve">· Figure 3</t>
    </r>
  </si>
  <si>
    <t xml:space="preserve">117 … two independent readers … the two most often documented elements in panel A … Three examinations … 5 of 58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</si>
  <si>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位阅读者；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栏两项（漩涡征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、肠气限制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）以外各项均 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（十二指肠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D3/DJJ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5/58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</si>
  <si>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Children, n</t>
    </r>
  </si>
  <si>
    <t xml:space="preserve">450 | 293 | 313 | 117 | 52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</si>
  <si>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450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52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UGI/CT/</t>
    </r>
    <r>
      <rPr>
        <sz val="10"/>
        <rFont val="Noto Sans CJK SC"/>
        <family val="2"/>
      </rPr>
      <t xml:space="preserve">超声组有重叠，不应相加；有检查组 </t>
    </r>
    <r>
      <rPr>
        <sz val="10"/>
        <rFont val="Arial"/>
        <family val="0"/>
        <charset val="1"/>
      </rPr>
      <t xml:space="preserve">398 + </t>
    </r>
    <r>
      <rPr>
        <sz val="10"/>
        <rFont val="Noto Sans CJK SC"/>
        <family val="2"/>
      </rPr>
      <t xml:space="preserve">无检查组 </t>
    </r>
    <r>
      <rPr>
        <sz val="10"/>
        <rFont val="Arial"/>
        <family val="0"/>
        <charset val="1"/>
      </rPr>
      <t xml:space="preserve">52 = 450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</si>
  <si>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Age at operation, median (IQR), days</t>
    </r>
  </si>
  <si>
    <t xml:space="preserve">12 (6–75) | 11 (7–32) | 11 (6–44) | 9 (5–24) | 47 (3–692)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</si>
  <si>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12.0 (6.1–75.3)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11.1 (7.4–32.3)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10.7 (6.0–43.7)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9.4 (5.1–24.2)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47.4 (3.5–691.7)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</si>
  <si>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Neonate ≤28 days, n (%)</t>
    </r>
  </si>
  <si>
    <t xml:space="preserve">300 (66.7) | 214 (73.0) | 220 (70.3) | 90 (76.9) | 23 (44.2)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</si>
  <si>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300/450=66.67%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214/293=73.04%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220/313=70.29%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90/117=76.92%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23/52=44.23%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</si>
  <si>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Age &gt;1 year, n (%)</t>
    </r>
  </si>
  <si>
    <t xml:space="preserve">86 (19.1) | 41 (14.0) | 52 (16.6) | 13 (11.1) | 15 (28.8)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</si>
  <si>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86/450=19.11%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41/293=13.99%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52/313=16.61%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13/117=11.11%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15/52=28.85%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</si>
  <si>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Male, n (%)</t>
    </r>
  </si>
  <si>
    <t xml:space="preserve">342 (76.0) | 220 (75.1) | 247 (78.9) | 92 (78.6) | 37 (71.2)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</si>
  <si>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342/450=76.00%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220/293=75.09%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247/313=78.91%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92/117=78.63%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37/52=71.15%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</si>
  <si>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Operated 2019–2026, n (%)</t>
    </r>
  </si>
  <si>
    <t xml:space="preserve">154 (34.2) | 89 (30.4) | 98 (31.3) | 79 (67.5) | 17 (32.7)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</si>
  <si>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154/450=34.22%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89/293=30.38%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98/313=31.31%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79/117=67.52%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17/52=32.69%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</si>
  <si>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Midgut volvulus at operation, n (%)</t>
    </r>
  </si>
  <si>
    <t xml:space="preserve">397 (88.2) | 263 (89.8) | 279 (89.1) | 112 (95.7) | 42 (80.8)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</si>
  <si>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397/450=88.22%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263/293=89.76%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279/313=89.14%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112/117=95.73%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42/52=80.77%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</si>
  <si>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Vomiting documented, n (%)</t>
    </r>
  </si>
  <si>
    <t xml:space="preserve">427 (94.9) | 281 (95.9) | 301 (96.2) | 111 (94.9) | 47 (90.4)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</si>
  <si>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427/450=94.89%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281/293=95.90%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301/313=96.17%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111/117=94.87%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47/52=90.38%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</si>
  <si>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Bilious vomiting documented, n (%)</t>
    </r>
  </si>
  <si>
    <t xml:space="preserve">214 (47.6) | 163 (55.6) | 161 (51.4) | 58 (49.6) | 12 (23.1)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</si>
  <si>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214/450=47.56%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163/293=55.63%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161/313=51.44%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58/117=49.57%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12/52=23.08%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</si>
  <si>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Abdominal distension, n (%)</t>
    </r>
  </si>
  <si>
    <t xml:space="preserve">178 (39.6) | 117 (39.9) | 134 (42.8) | 57 (48.7) | 22 (42.3)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</si>
  <si>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178/450=39.56%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117/293=39.93%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134/313=42.81%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57/117=48.72%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22/52=42.31%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</si>
  <si>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Blood in stool, n (%)</t>
    </r>
  </si>
  <si>
    <t xml:space="preserve">110 (24.4) | 61 (20.8) | 86 (27.5) | 31 (26.5) | 12 (23.1)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</si>
  <si>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110/450=24.44%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61/293=20.82%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86/313=27.48%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31/117=26.50%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12/52=23.08%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</si>
  <si>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Abdominal pain, n (%)</t>
    </r>
  </si>
  <si>
    <t xml:space="preserve">66 (14.7) | 30 (10.2) | 43 (13.7) | 10 (8.5) | 11 (21.2)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</si>
  <si>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66/450=14.67%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30/293=10.24%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43/313=13.74%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10/117=8.55%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11/52=21.15%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</si>
  <si>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Gastrointestinal symptoms for 1 month or longer, n (%)</t>
    </r>
  </si>
  <si>
    <t xml:space="preserve">38 (8.4) | 19 (6.5) | 21 (6.7) | 5 (4.3) | 9 (17.3)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</si>
  <si>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38/450=8.44%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19/293=6.48%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21/313=6.71%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5/117=4.27%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9/52=17.31%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</si>
  <si>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Shock or poor perfusion, n (%)</t>
    </r>
  </si>
  <si>
    <t xml:space="preserve">11 (2.4) | 3 (1.0) | 6 (1.9) | 3 (2.6) | 4 (7.7)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</si>
  <si>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All 11/450=2.44%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3/293=1.02%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6/313=1.92%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3/117=2.56%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none 4/52=7.69%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</si>
  <si>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 · UGI series</t>
    </r>
  </si>
  <si>
    <t xml:space="preserve">230/293 | 78.5 (73.4–82.8) | 74 (32.2) | 73 (31.7) | 83 (36.1) | 50.2 | 77.8 (72.7–82.2)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</si>
  <si>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230/293 = 78.50%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Wilson 73.44–82.82</t>
    </r>
    <r>
      <rPr>
        <sz val="10"/>
        <rFont val="Noto Sans CJK SC"/>
        <family val="2"/>
      </rPr>
      <t xml:space="preserve">；分级（合并检查次结论）</t>
    </r>
    <r>
      <rPr>
        <sz val="10"/>
        <rFont val="Arial"/>
        <family val="0"/>
        <charset val="1"/>
      </rPr>
      <t xml:space="preserve">definite/probable/possible = 74/73/83</t>
    </r>
    <r>
      <rPr>
        <sz val="10"/>
        <rFont val="Noto Sans CJK SC"/>
        <family val="2"/>
      </rPr>
      <t xml:space="preserve">，表中 </t>
    </r>
    <r>
      <rPr>
        <sz val="10"/>
        <rFont val="Arial"/>
        <family val="0"/>
        <charset val="1"/>
      </rPr>
      <t xml:space="preserve">74/73/83</t>
    </r>
    <r>
      <rPr>
        <sz val="10"/>
        <rFont val="Noto Sans CJK SC"/>
        <family val="2"/>
      </rPr>
      <t xml:space="preserve">（合计 </t>
    </r>
    <r>
      <rPr>
        <sz val="10"/>
        <rFont val="Arial"/>
        <family val="0"/>
        <charset val="1"/>
      </rPr>
      <t xml:space="preserve">230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阳性数）；分级百分比以阳性数为分母；排除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50.2%</t>
    </r>
    <r>
      <rPr>
        <sz val="10"/>
        <rFont val="Noto Sans CJK SC"/>
        <family val="2"/>
      </rPr>
      <t xml:space="preserve">；只计点名旋转不良 </t>
    </r>
    <r>
      <rPr>
        <sz val="10"/>
        <rFont val="Arial"/>
        <family val="0"/>
        <charset val="1"/>
      </rPr>
      <t xml:space="preserve">228/293 = 77.8%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</si>
  <si>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 · Abdominal CT (all)</t>
    </r>
  </si>
  <si>
    <t xml:space="preserve">165/313 | 52.7 (47.2–58.2) | 30 (18.2) | 73 (44.2) | 62 (37.6) | 32.9 | 48.6 (43.1–54.1)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</si>
  <si>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165/313 = 52.72%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Wilson 47.19–58.18</t>
    </r>
    <r>
      <rPr>
        <sz val="10"/>
        <rFont val="Noto Sans CJK SC"/>
        <family val="2"/>
      </rPr>
      <t xml:space="preserve">；分级（合并检查次结论）</t>
    </r>
    <r>
      <rPr>
        <sz val="10"/>
        <rFont val="Arial"/>
        <family val="0"/>
        <charset val="1"/>
      </rPr>
      <t xml:space="preserve">definite/probable/possible = 30/73/62</t>
    </r>
    <r>
      <rPr>
        <sz val="10"/>
        <rFont val="Noto Sans CJK SC"/>
        <family val="2"/>
      </rPr>
      <t xml:space="preserve">，表中 </t>
    </r>
    <r>
      <rPr>
        <sz val="10"/>
        <rFont val="Arial"/>
        <family val="0"/>
        <charset val="1"/>
      </rPr>
      <t xml:space="preserve">30/73/62</t>
    </r>
    <r>
      <rPr>
        <sz val="10"/>
        <rFont val="Noto Sans CJK SC"/>
        <family val="2"/>
      </rPr>
      <t xml:space="preserve">（合计 </t>
    </r>
    <r>
      <rPr>
        <sz val="10"/>
        <rFont val="Arial"/>
        <family val="0"/>
        <charset val="1"/>
      </rPr>
      <t xml:space="preserve">165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阳性数）；分级百分比以阳性数为分母；排除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32.9%</t>
    </r>
    <r>
      <rPr>
        <sz val="10"/>
        <rFont val="Noto Sans CJK SC"/>
        <family val="2"/>
      </rPr>
      <t xml:space="preserve">；只计点名旋转不良 </t>
    </r>
    <r>
      <rPr>
        <sz val="10"/>
        <rFont val="Arial"/>
        <family val="0"/>
        <charset val="1"/>
      </rPr>
      <t xml:space="preserve">152/313 = 48.6%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</si>
  <si>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 · Ultrasound</t>
    </r>
  </si>
  <si>
    <t xml:space="preserve">64/117 | 54.7 (45.7–63.4) | 12 (18.8) | 18 (28.1) | 34 (53.1) | 25.6 | 53.8 (44.8–62.6)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</si>
  <si>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64/117 = 54.70%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Wilson 45.67–63.43</t>
    </r>
    <r>
      <rPr>
        <sz val="10"/>
        <rFont val="Noto Sans CJK SC"/>
        <family val="2"/>
      </rPr>
      <t xml:space="preserve">；分级（合并检查次结论）</t>
    </r>
    <r>
      <rPr>
        <sz val="10"/>
        <rFont val="Arial"/>
        <family val="0"/>
        <charset val="1"/>
      </rPr>
      <t xml:space="preserve">definite/probable/possible = 12/18/34</t>
    </r>
    <r>
      <rPr>
        <sz val="10"/>
        <rFont val="Noto Sans CJK SC"/>
        <family val="2"/>
      </rPr>
      <t xml:space="preserve">，表中 </t>
    </r>
    <r>
      <rPr>
        <sz val="10"/>
        <rFont val="Arial"/>
        <family val="0"/>
        <charset val="1"/>
      </rPr>
      <t xml:space="preserve">12/18/34</t>
    </r>
    <r>
      <rPr>
        <sz val="10"/>
        <rFont val="Noto Sans CJK SC"/>
        <family val="2"/>
      </rPr>
      <t xml:space="preserve">（合计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阳性数）；分级百分比以阳性数为分母；排除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25.6%</t>
    </r>
    <r>
      <rPr>
        <sz val="10"/>
        <rFont val="Noto Sans CJK SC"/>
        <family val="2"/>
      </rPr>
      <t xml:space="preserve">；只计点名旋转不良 </t>
    </r>
    <r>
      <rPr>
        <sz val="10"/>
        <rFont val="Arial"/>
        <family val="0"/>
        <charset val="1"/>
      </rPr>
      <t xml:space="preserve">63/117 = 53.8%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</si>
  <si>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 · CT, contrast-enhanced</t>
    </r>
  </si>
  <si>
    <t xml:space="preserve">40/50 | 80.0 (67.0–88.8)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</si>
  <si>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40/50 = 80.00%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Wilson 66.96–88.76</t>
    </r>
    <r>
      <rPr>
        <sz val="10"/>
        <rFont val="Noto Sans CJK SC"/>
        <family val="2"/>
      </rPr>
      <t xml:space="preserve">；增强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平扫 </t>
    </r>
    <r>
      <rPr>
        <sz val="10"/>
        <rFont val="Arial"/>
        <family val="0"/>
        <charset val="1"/>
      </rPr>
      <t xml:space="preserve">= 165/313 = CT </t>
    </r>
    <r>
      <rPr>
        <sz val="10"/>
        <rFont val="Noto Sans CJK SC"/>
        <family val="2"/>
      </rPr>
      <t xml:space="preserve">合计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</si>
  <si>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 · CT, unenhanced</t>
    </r>
  </si>
  <si>
    <t xml:space="preserve">125/263 | 47.5 (41.6–53.6)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</si>
  <si>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125/263 = 47.53%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Wilson 41.57–53.56</t>
    </r>
    <r>
      <rPr>
        <sz val="10"/>
        <rFont val="Noto Sans CJK SC"/>
        <family val="2"/>
      </rPr>
      <t xml:space="preserve">；增强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平扫 </t>
    </r>
    <r>
      <rPr>
        <sz val="10"/>
        <rFont val="Arial"/>
        <family val="0"/>
        <charset val="1"/>
      </rPr>
      <t xml:space="preserve">= 165/313 = CT </t>
    </r>
    <r>
      <rPr>
        <sz val="10"/>
        <rFont val="Noto Sans CJK SC"/>
        <family val="2"/>
      </rPr>
      <t xml:space="preserve">合计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</si>
  <si>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表头</t>
    </r>
  </si>
  <si>
    <t xml:space="preserve">n (%) of 117 | 2012–2018, n (of 38) | 2019–2026, n (of 79)</t>
  </si>
  <si>
    <r>
      <rPr>
        <sz val="10"/>
        <rFont val="Noto Sans CJK SC"/>
        <family val="2"/>
      </rPr>
      <t xml:space="preserve">【一致】超声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、后期 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（合计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</si>
  <si>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Third portion of duodenum or duodenojejunal junction</t>
    </r>
  </si>
  <si>
    <t xml:space="preserve">3 (2.6) | 1 | 2 | 2/3 | 62/114 (54%)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</si>
  <si>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3/117 = 2.56%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2 = 3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2/3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62/114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3+114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2+62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</si>
  <si>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Duodenum mentioned in any form</t>
    </r>
  </si>
  <si>
    <t xml:space="preserve">7 (6.0) | 3 | 4 | 3/7 | 61/110 (55%)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</si>
  <si>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7/117 = 5.98%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3+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4 = 7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3/7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61/110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7+110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3+61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</si>
  <si>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Superior mesenteric artery–vein relationship</t>
    </r>
  </si>
  <si>
    <t xml:space="preserve">3 (2.6) | 1 | 2 | 1/3 | 63/114 (55%)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</si>
  <si>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3/117 = 2.56%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2 = 3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1/3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63/114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3+114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</si>
  <si>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Explicit statement of vessel inversion</t>
    </r>
  </si>
  <si>
    <t xml:space="preserve">1 (0.9) | 0 | 1 | 1/1 | 63/116 (54%)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</si>
  <si>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1/117 = 0.85%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0+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1 = 1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1/1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63/116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1+116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</si>
  <si>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Enteric fluid administration recorded</t>
    </r>
  </si>
  <si>
    <t xml:space="preserve">2 (1.7) | 1 | 1 | 1/2 | 63/115 (55%)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</si>
  <si>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2/117 = 1.71%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1 = 2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1/2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63/115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2+115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</si>
  <si>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Dynamic (real-time) assessment</t>
    </r>
  </si>
  <si>
    <t xml:space="preserve">4 (3.4) | 1 | 3 | 1/4 | 63/113 (56%)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</si>
  <si>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4/117 = 3.42%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3 = 4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1/4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63/113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4+113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</si>
  <si>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Graded compression</t>
    </r>
  </si>
  <si>
    <t xml:space="preserve">1 (0.9) | 1 | 0 | 1/1 | 63/116 (54%)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</si>
  <si>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1/117 = 0.85%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0 = 1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1/1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63/116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1+116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</si>
  <si>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Cecal position</t>
    </r>
  </si>
  <si>
    <t xml:space="preserve">5 (4.3) | 1 | 4 | 4/5 | 60/112 (54%)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</si>
  <si>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5/117 = 4.27%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4 = 5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4/5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60/112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5+112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4+60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</si>
  <si>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Color Doppler used</t>
    </r>
  </si>
  <si>
    <t xml:space="preserve">114 (97.4) | 37 | 77 | 63/114 (55%) | 1/3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</si>
  <si>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114/117 = 97.44%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37+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77 = 114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63/114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1/3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114+3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63+1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</si>
  <si>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Whirlpool, swirl or spiral appearance reported</t>
    </r>
  </si>
  <si>
    <t xml:space="preserve">59 (50.4) | 15 | 44 | 59/59 (100%) | 5/58 (9%)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</si>
  <si>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59/117 = 50.43%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15+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44 = 59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59/59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5/58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59+58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59+5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</si>
  <si>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Bowel gas explicitly limiting the study</t>
    </r>
  </si>
  <si>
    <t xml:space="preserve">36 (30.8) | 12 | 24 | 15/36 (42%) | 49/81 (60%)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</si>
  <si>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36/117 = 30.77%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12+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24 = 36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15/36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49/81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36+81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15+49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</si>
  <si>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Booked as abdominal great-vessel study</t>
    </r>
  </si>
  <si>
    <t xml:space="preserve">67 (57.3) | 13 | 54 | 46/67 (69%) | 18/50 (36%)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</si>
  <si>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67/117 = 57.26%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13+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54 = 67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46/67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18/50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67+50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46+18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</si>
  <si>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Booked as gastrointestinal ultrasound</t>
    </r>
  </si>
  <si>
    <t xml:space="preserve">73 (62.4) | 28 | 45 | 37/73 (51%) | 27/44 (61%)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</si>
  <si>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73/117 = 62.39%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28+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45 = 73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37/73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27/44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73+44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37+27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</si>
  <si>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Booked as pyloric ultrasound</t>
    </r>
  </si>
  <si>
    <t xml:space="preserve">12 (10.3) | 4 | 8 | 7/12 (58%) | 57/105 (54%)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</si>
  <si>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12/117 = 10.26%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4+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8 = 12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7/12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57/105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12+105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7+57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</si>
  <si>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Performed at the bedside</t>
    </r>
  </si>
  <si>
    <t xml:space="preserve">9 (7.7) | 0 | 9 | 1/9 | 63/108 (58%)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</si>
  <si>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9/117 = 7.69%</t>
    </r>
    <r>
      <rPr>
        <sz val="10"/>
        <rFont val="Noto Sans CJK SC"/>
        <family val="2"/>
      </rPr>
      <t xml:space="preserve">；前期 </t>
    </r>
    <r>
      <rPr>
        <sz val="10"/>
        <rFont val="Arial"/>
        <family val="0"/>
        <charset val="1"/>
      </rPr>
      <t xml:space="preserve">0+</t>
    </r>
    <r>
      <rPr>
        <sz val="10"/>
        <rFont val="Noto Sans CJK SC"/>
        <family val="2"/>
      </rPr>
      <t xml:space="preserve">后期 </t>
    </r>
    <r>
      <rPr>
        <sz val="10"/>
        <rFont val="Arial"/>
        <family val="0"/>
        <charset val="1"/>
      </rPr>
      <t xml:space="preserve">9 = 9</t>
    </r>
    <r>
      <rPr>
        <sz val="10"/>
        <rFont val="Noto Sans CJK SC"/>
        <family val="2"/>
      </rPr>
      <t xml:space="preserve">；记录时 </t>
    </r>
    <r>
      <rPr>
        <sz val="10"/>
        <rFont val="Arial"/>
        <family val="0"/>
        <charset val="1"/>
      </rPr>
      <t xml:space="preserve">1/9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63/108</t>
    </r>
    <r>
      <rPr>
        <sz val="10"/>
        <rFont val="Noto Sans CJK SC"/>
        <family val="2"/>
      </rPr>
      <t xml:space="preserve">；分母和 </t>
    </r>
    <r>
      <rPr>
        <sz val="10"/>
        <rFont val="Arial"/>
        <family val="0"/>
        <charset val="1"/>
      </rPr>
      <t xml:space="preserve">9+108 = 117</t>
    </r>
    <r>
      <rPr>
        <sz val="10"/>
        <rFont val="Noto Sans CJK SC"/>
        <family val="2"/>
      </rPr>
      <t xml:space="preserve">，检出和 </t>
    </r>
    <r>
      <rPr>
        <sz val="10"/>
        <rFont val="Arial"/>
        <family val="0"/>
        <charset val="1"/>
      </rPr>
      <t xml:space="preserve">1+63 = 64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</si>
  <si>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脚注</t>
    </r>
  </si>
  <si>
    <r>
      <rPr>
        <sz val="10"/>
        <rFont val="Arial"/>
        <family val="0"/>
        <charset val="1"/>
      </rPr>
      <t xml:space="preserve">5 of 1,428 item codes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28 / 4 / 3 sessions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fewer than 10</t>
    </r>
  </si>
  <si>
    <r>
      <rPr>
        <sz val="10"/>
        <rFont val="Noto Sans CJK SC"/>
        <family val="2"/>
      </rPr>
      <t xml:space="preserve">【一致】不一致格 </t>
    </r>
    <r>
      <rPr>
        <sz val="10"/>
        <rFont val="Arial"/>
        <family val="0"/>
        <charset val="1"/>
      </rPr>
      <t xml:space="preserve">5/1428</t>
    </r>
    <r>
      <rPr>
        <sz val="10"/>
        <rFont val="Noto Sans CJK SC"/>
        <family val="2"/>
      </rPr>
      <t xml:space="preserve">；重叠 </t>
    </r>
    <r>
      <rPr>
        <sz val="10"/>
        <rFont val="Arial"/>
        <family val="0"/>
        <charset val="1"/>
      </rPr>
      <t xml:space="preserve">28/4/3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73+67+12−28−4−3 = 117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</si>
  <si>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4 · UGI series</t>
    </r>
  </si>
  <si>
    <t xml:space="preserve">157/204 (77.0%) | 73/89 (82.0%) | 1.37 (0.73–2.57), P = .333 | – | None fitted | +5.1 (−4.7 to +15.0)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</si>
  <si>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157/204 76.96%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73/89 82.02%</t>
    </r>
    <r>
      <rPr>
        <sz val="10"/>
        <rFont val="Noto Sans CJK SC"/>
        <family val="2"/>
      </rPr>
      <t xml:space="preserve">；合计 </t>
    </r>
    <r>
      <rPr>
        <sz val="10"/>
        <rFont val="Arial"/>
        <family val="0"/>
        <charset val="1"/>
      </rPr>
      <t xml:space="preserve">230/293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1.366 (0.726–2.569) P 0.3333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+5.06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</t>
    </r>
    <r>
      <rPr>
        <sz val="10"/>
        <rFont val="Noto Sans CJK SC"/>
        <family val="2"/>
      </rPr>
      <t xml:space="preserve">区间为原程序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（固定种子）；全部由独立 </t>
    </r>
    <r>
      <rPr>
        <sz val="10"/>
        <rFont val="Arial"/>
        <family val="0"/>
        <charset val="1"/>
      </rPr>
      <t xml:space="preserve">logistic </t>
    </r>
    <r>
      <rPr>
        <sz val="10"/>
        <rFont val="Noto Sans CJK SC"/>
        <family val="2"/>
      </rPr>
      <t xml:space="preserve">回归复算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</si>
  <si>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4 · Abdominal CT</t>
    </r>
  </si>
  <si>
    <t xml:space="preserve">100/215 (46.5%) | 65/98 (66.3%) | 2.27 (1.38–3.72), P = .001 | 2.02 (1.21–3.37), P = .007 | Intravenous contrast enhancement 3.98 (1.90–8.37), P &lt; .001 | +19.8 (+8.3 to +31.0) → +16.4 (+4.3 to +27.3)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</si>
  <si>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100/215 46.51%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65/98 66.33%</t>
    </r>
    <r>
      <rPr>
        <sz val="10"/>
        <rFont val="Noto Sans CJK SC"/>
        <family val="2"/>
      </rPr>
      <t xml:space="preserve">；合计 </t>
    </r>
    <r>
      <rPr>
        <sz val="10"/>
        <rFont val="Arial"/>
        <family val="0"/>
        <charset val="1"/>
      </rPr>
      <t xml:space="preserve">165/313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2.265 (1.378–3.725) P 0.0013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OR 2.023 (1.213–3.375) P 0.0070</t>
    </r>
    <r>
      <rPr>
        <sz val="10"/>
        <rFont val="Noto Sans CJK SC"/>
        <family val="2"/>
      </rPr>
      <t xml:space="preserve">；协变量 </t>
    </r>
    <r>
      <rPr>
        <sz val="10"/>
        <rFont val="Arial"/>
        <family val="0"/>
        <charset val="1"/>
      </rPr>
      <t xml:space="preserve">OR 3.984 (1.895–8.374) P 0.0003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+19.81 → +16.38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AME </t>
    </r>
    <r>
      <rPr>
        <sz val="10"/>
        <rFont val="Noto Sans CJK SC"/>
        <family val="2"/>
      </rPr>
      <t xml:space="preserve">区间为原程序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（固定种子）；全部由独立 </t>
    </r>
    <r>
      <rPr>
        <sz val="10"/>
        <rFont val="Arial"/>
        <family val="0"/>
        <charset val="1"/>
      </rPr>
      <t xml:space="preserve">logistic </t>
    </r>
    <r>
      <rPr>
        <sz val="10"/>
        <rFont val="Noto Sans CJK SC"/>
        <family val="2"/>
      </rPr>
      <t xml:space="preserve">回归复算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</si>
  <si>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4 · Ultrasound</t>
    </r>
  </si>
  <si>
    <t xml:space="preserve">16/38 (42.1%) | 48/79 (60.8%) | 2.13 (0.97–4.67), P = .060 | 1.45 (0.62–3.40), P = .397 | Session included a great-vessel study 3.51 (1.56–7.87), P = .002 | +18.7 (−0.2 to +37.7) → +8.4 (−10.6 to +29.2)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</si>
  <si>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16/38 42.11%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48/79 60.76%</t>
    </r>
    <r>
      <rPr>
        <sz val="10"/>
        <rFont val="Noto Sans CJK SC"/>
        <family val="2"/>
      </rPr>
      <t xml:space="preserve">；合计 </t>
    </r>
    <r>
      <rPr>
        <sz val="10"/>
        <rFont val="Arial"/>
        <family val="0"/>
        <charset val="1"/>
      </rPr>
      <t xml:space="preserve">64/117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2.129 (0.970–4.675) P 0.0597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OR 1.447 (0.616–3.402) P 0.3966</t>
    </r>
    <r>
      <rPr>
        <sz val="10"/>
        <rFont val="Noto Sans CJK SC"/>
        <family val="2"/>
      </rPr>
      <t xml:space="preserve">；协变量 </t>
    </r>
    <r>
      <rPr>
        <sz val="10"/>
        <rFont val="Arial"/>
        <family val="0"/>
        <charset val="1"/>
      </rPr>
      <t xml:space="preserve">OR 3.507 (1.563–7.871) P 0.0023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+18.65 → +8.35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AME </t>
    </r>
    <r>
      <rPr>
        <sz val="10"/>
        <rFont val="Noto Sans CJK SC"/>
        <family val="2"/>
      </rPr>
      <t xml:space="preserve">区间为原程序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（固定种子）；全部由独立 </t>
    </r>
    <r>
      <rPr>
        <sz val="10"/>
        <rFont val="Arial"/>
        <family val="0"/>
        <charset val="1"/>
      </rPr>
      <t xml:space="preserve">logistic </t>
    </r>
    <r>
      <rPr>
        <sz val="10"/>
        <rFont val="Noto Sans CJK SC"/>
        <family val="2"/>
      </rPr>
      <t xml:space="preserve">回归复算</t>
    </r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</si>
  <si>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各框</t>
    </r>
  </si>
  <si>
    <r>
      <rPr>
        <sz val="10"/>
        <rFont val="Arial"/>
        <family val="0"/>
        <charset val="1"/>
      </rPr>
      <t xml:space="preserve">711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559/499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56/34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503/465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34 = 19 + 15 (6+9)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484/450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398 (723)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293/313/117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 (11.6%)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44/11/22/7/4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793→723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</si>
  <si>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559/499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56/34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503/465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34 = 19 + 15 (6+9)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484/450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398 (723)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293/313/117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 (11.6%)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44/11/22/7/4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793→723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。流程守恒：</t>
    </r>
    <r>
      <rPr>
        <sz val="10"/>
        <rFont val="Arial"/>
        <family val="0"/>
        <charset val="1"/>
      </rPr>
      <t xml:space="preserve">559−56=503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465−15=450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398+52=450</t>
    </r>
  </si>
  <si>
    <r>
      <rPr>
        <sz val="10"/>
        <rFont val="Noto Sans CJK SC"/>
        <family val="2"/>
      </rPr>
      <t xml:space="preserve">图中无入院记录的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均有院外影像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一项依赖文本检索加人工阅读；其余为数据计数</t>
    </r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</si>
  <si>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三个点估计与区间</t>
    </r>
  </si>
  <si>
    <r>
      <rPr>
        <sz val="10"/>
        <rFont val="Arial"/>
        <family val="0"/>
        <charset val="1"/>
      </rPr>
      <t xml:space="preserve">78.5% 230 of 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52.7% 165 of 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54.7% 64 of 117</t>
    </r>
  </si>
  <si>
    <r>
      <rPr>
        <sz val="10"/>
        <rFont val="Noto Sans CJK SC"/>
        <family val="2"/>
      </rPr>
      <t xml:space="preserve">【一致】与表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一致（同一数据）；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区间同表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</si>
  <si>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3A · </t>
    </r>
    <r>
      <rPr>
        <sz val="10"/>
        <rFont val="Noto Sans CJK SC"/>
        <family val="2"/>
      </rPr>
      <t xml:space="preserve">各条</t>
    </r>
  </si>
  <si>
    <r>
      <rPr>
        <sz val="10"/>
        <rFont val="Arial"/>
        <family val="0"/>
        <charset val="1"/>
      </rPr>
      <t xml:space="preserve">3/117 (2.6%)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1/117 (0.9%)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1/117 (0.9%)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2/117 (1.7%)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4/117 (3.4%)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5/117 (4.3%)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7/117 (6.0%)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3/117 (2.6%)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36/117 (30.8%)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59/117 (50.4%)</t>
    </r>
  </si>
  <si>
    <r>
      <rPr>
        <sz val="10"/>
        <rFont val="Noto Sans CJK SC"/>
        <family val="2"/>
      </rPr>
      <t xml:space="preserve">【一致】与表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列逐项一致</t>
    </r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</si>
  <si>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3B · </t>
    </r>
    <r>
      <rPr>
        <sz val="10"/>
        <rFont val="Noto Sans CJK SC"/>
        <family val="2"/>
      </rPr>
      <t xml:space="preserve">各柱</t>
    </r>
  </si>
  <si>
    <r>
      <rPr>
        <sz val="10"/>
        <rFont val="Arial"/>
        <family val="0"/>
        <charset val="1"/>
      </rPr>
      <t xml:space="preserve">100% 59/59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9% 5/58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42% 15/36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60% 49/81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69% 46/67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36% 18/50</t>
    </r>
  </si>
  <si>
    <r>
      <rPr>
        <sz val="10"/>
        <rFont val="Noto Sans CJK SC"/>
        <family val="2"/>
      </rPr>
      <t xml:space="preserve">【一致】漩涡征 记录 </t>
    </r>
    <r>
      <rPr>
        <sz val="10"/>
        <rFont val="Arial"/>
        <family val="0"/>
        <charset val="1"/>
      </rPr>
      <t xml:space="preserve">59/59 = 100%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5/58 = 9%</t>
    </r>
    <r>
      <rPr>
        <sz val="10"/>
        <rFont val="Noto Sans CJK SC"/>
        <family val="2"/>
      </rPr>
      <t xml:space="preserve">；肠气限制 记录 </t>
    </r>
    <r>
      <rPr>
        <sz val="10"/>
        <rFont val="Arial"/>
        <family val="0"/>
        <charset val="1"/>
      </rPr>
      <t xml:space="preserve">15/36 = 42%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49/81 = 60%</t>
    </r>
    <r>
      <rPr>
        <sz val="10"/>
        <rFont val="Noto Sans CJK SC"/>
        <family val="2"/>
      </rPr>
      <t xml:space="preserve">；大血管检查 记录 </t>
    </r>
    <r>
      <rPr>
        <sz val="10"/>
        <rFont val="Arial"/>
        <family val="0"/>
        <charset val="1"/>
      </rPr>
      <t xml:space="preserve">46/67 = 69%</t>
    </r>
    <r>
      <rPr>
        <sz val="10"/>
        <rFont val="Noto Sans CJK SC"/>
        <family val="2"/>
      </rPr>
      <t xml:space="preserve">，未记录 </t>
    </r>
    <r>
      <rPr>
        <sz val="10"/>
        <rFont val="Arial"/>
        <family val="0"/>
        <charset val="1"/>
      </rPr>
      <t xml:space="preserve">18/50 = 36%</t>
    </r>
    <r>
      <rPr>
        <sz val="10"/>
        <rFont val="Noto Sans CJK SC"/>
        <family val="2"/>
      </rPr>
      <t xml:space="preserve">（与表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同一数据）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</si>
  <si>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A</t>
    </r>
  </si>
  <si>
    <t xml:space="preserve">two operations … two readers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</si>
  <si>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描述性数字】描述性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</si>
  <si>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B</t>
    </r>
  </si>
  <si>
    <t xml:space="preserve">the two differ in the seven index units listed in Section J</t>
  </si>
  <si>
    <r>
      <rPr>
        <sz val="10"/>
        <rFont val="Noto Sans CJK SC"/>
        <family val="2"/>
      </rPr>
      <t xml:space="preserve">【一致】参考实现与最终标签不一致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个单元（第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节）；原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五份报告因所见中的征象改判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的说法已于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更正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</si>
  <si>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E1</t>
    </r>
  </si>
  <si>
    <t xml:space="preserve">twelve characters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</si>
  <si>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描述性数字】规则参数（</t>
    </r>
    <r>
      <rPr>
        <sz val="10"/>
        <rFont val="Arial"/>
        <family val="0"/>
        <charset val="1"/>
      </rPr>
      <t xml:space="preserve">classifier.py </t>
    </r>
    <r>
      <rPr>
        <sz val="10"/>
        <rFont val="Noto Sans CJK SC"/>
        <family val="2"/>
      </rPr>
      <t xml:space="preserve">中窗口为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字）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</si>
  <si>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F</t>
    </r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</si>
  <si>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描述性数字】同上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</si>
  <si>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引言</t>
    </r>
  </si>
  <si>
    <t xml:space="preserve">one of the authors … 32 reports in two independent samples … nine flagged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</si>
  <si>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24+8 = 32</t>
    </r>
    <r>
      <rPr>
        <sz val="10"/>
        <rFont val="Noto Sans CJK SC"/>
        <family val="2"/>
      </rPr>
      <t xml:space="preserve">；待核 </t>
    </r>
    <r>
      <rPr>
        <sz val="10"/>
        <rFont val="Arial"/>
        <family val="0"/>
        <charset val="1"/>
      </rPr>
      <t xml:space="preserve">9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</si>
  <si>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1</t>
    </r>
  </si>
  <si>
    <t xml:space="preserve">24 … three modalities … 22/24 (92%); kappa 0.83 (95% CI 0.61–1.00 …, truncated at 1); 88% (UGI), 88% (CT), 100% (ultrasound)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</si>
  <si>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22/24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kappa 0.833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CI 0.61–1.00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7/8 = 87.5%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CT 7/8 = 87.5%</t>
    </r>
    <r>
      <rPr>
        <sz val="10"/>
        <rFont val="Noto Sans CJK SC"/>
        <family val="2"/>
      </rPr>
      <t xml:space="preserve">，超声 </t>
    </r>
    <r>
      <rPr>
        <sz val="10"/>
        <rFont val="Arial"/>
        <family val="0"/>
        <charset val="1"/>
      </rPr>
      <t xml:space="preserve">8/8 = 100%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</si>
  <si>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2</t>
    </r>
  </si>
  <si>
    <t xml:space="preserve">The 8 reports whose conclusion or findings contained a malrotation, whirlpool or volvulus term … Five … all five named malrotation in the conclusion</t>
  </si>
  <si>
    <r>
      <rPr>
        <sz val="10"/>
        <rFont val="Noto Sans CJK SC"/>
        <family val="2"/>
      </rPr>
      <t xml:space="preserve">【一致】潜在漏判表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行 </t>
    </r>
    <r>
      <rPr>
        <sz val="10"/>
        <rFont val="Arial"/>
        <family val="0"/>
        <charset val="1"/>
      </rPr>
      <t xml:space="preserve">= 8 </t>
    </r>
    <r>
      <rPr>
        <sz val="10"/>
        <rFont val="Noto Sans CJK SC"/>
        <family val="2"/>
      </rPr>
      <t xml:space="preserve">份报告（</t>
    </r>
    <r>
      <rPr>
        <sz val="10"/>
        <rFont val="Arial"/>
        <family val="0"/>
        <charset val="1"/>
      </rPr>
      <t xml:space="preserve">4921963 </t>
    </r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行）；判阳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份结论均含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旋转不良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（不除外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建议除外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请临床除外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可以考虑）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</si>
  <si>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3</t>
    </r>
  </si>
  <si>
    <t xml:space="preserve">two … one … nine units … the 740 index units held before the review … none of the nine</t>
  </si>
  <si>
    <r>
      <rPr>
        <sz val="10"/>
        <rFont val="Noto Sans CJK SC"/>
        <family val="2"/>
      </rPr>
      <t xml:space="preserve">【一致】待核清单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例；复核前索引单位 </t>
    </r>
    <r>
      <rPr>
        <sz val="10"/>
        <rFont val="Arial"/>
        <family val="0"/>
        <charset val="1"/>
      </rPr>
      <t xml:space="preserve">740</t>
    </r>
    <r>
      <rPr>
        <sz val="10"/>
        <rFont val="Noto Sans CJK SC"/>
        <family val="2"/>
      </rPr>
      <t xml:space="preserve">（复核后 </t>
    </r>
    <r>
      <rPr>
        <sz val="10"/>
        <rFont val="Arial"/>
        <family val="0"/>
        <charset val="1"/>
      </rPr>
      <t xml:space="preserve">723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例均不在被剔除的患儿或报告中</t>
    </r>
  </si>
  <si>
    <t xml:space="preserve">Three were over-calls … two CT units … one bedside ultrasound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</si>
  <si>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label_corrections.csv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4331826 CT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35807877 CT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10140565 US</t>
    </r>
  </si>
  <si>
    <t xml:space="preserve">The other six … Four … One … In one child … an examination 0.8 days earlier (2.4 days before operation) recorded a whirlpool</t>
  </si>
  <si>
    <r>
      <rPr>
        <sz val="10"/>
        <rFont val="Noto Sans CJK SC"/>
        <family val="2"/>
      </rPr>
      <t xml:space="preserve">【一致】待核清单：裁定正确 </t>
    </r>
    <r>
      <rPr>
        <sz val="10"/>
        <rFont val="Arial"/>
        <family val="0"/>
        <charset val="1"/>
      </rPr>
      <t xml:space="preserve">5 + </t>
    </r>
    <r>
      <rPr>
        <sz val="10"/>
        <rFont val="Noto Sans CJK SC"/>
        <family val="2"/>
      </rPr>
      <t xml:space="preserve">导出缺报告 </t>
    </r>
    <r>
      <rPr>
        <sz val="10"/>
        <rFont val="Arial"/>
        <family val="0"/>
        <charset val="1"/>
      </rPr>
      <t xml:space="preserve">1 = 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形态描述 </t>
    </r>
    <r>
      <rPr>
        <sz val="10"/>
        <rFont val="Arial"/>
        <family val="0"/>
        <charset val="1"/>
      </rPr>
      <t xml:space="preserve">+ 1 </t>
    </r>
    <r>
      <rPr>
        <sz val="10"/>
        <rFont val="Noto Sans CJK SC"/>
        <family val="2"/>
      </rPr>
      <t xml:space="preserve">交叉引用 </t>
    </r>
    <r>
      <rPr>
        <sz val="10"/>
        <rFont val="Arial"/>
        <family val="0"/>
        <charset val="1"/>
      </rPr>
      <t xml:space="preserve">5001066 + 1 </t>
    </r>
    <r>
      <rPr>
        <sz val="10"/>
        <rFont val="Noto Sans CJK SC"/>
        <family val="2"/>
      </rPr>
      <t xml:space="preserve">标签来自更早检查 </t>
    </r>
    <r>
      <rPr>
        <sz val="10"/>
        <rFont val="Arial"/>
        <family val="0"/>
        <charset val="1"/>
      </rPr>
      <t xml:space="preserve">35792266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35792266</t>
    </r>
    <r>
      <rPr>
        <sz val="10"/>
        <rFont val="Noto Sans CJK SC"/>
        <family val="2"/>
      </rPr>
      <t xml:space="preserve">：漩涡征检查 </t>
    </r>
    <r>
      <rPr>
        <sz val="10"/>
        <rFont val="Arial"/>
        <family val="0"/>
        <charset val="1"/>
      </rPr>
      <t xml:space="preserve">2024-11-18 15:03</t>
    </r>
    <r>
      <rPr>
        <sz val="10"/>
        <rFont val="Noto Sans CJK SC"/>
        <family val="2"/>
      </rPr>
      <t xml:space="preserve">，索引检查次 </t>
    </r>
    <r>
      <rPr>
        <sz val="10"/>
        <rFont val="Arial"/>
        <family val="0"/>
        <charset val="1"/>
      </rPr>
      <t xml:space="preserve">2024-11-19 09:49</t>
    </r>
    <r>
      <rPr>
        <sz val="10"/>
        <rFont val="Noto Sans CJK SC"/>
        <family val="2"/>
      </rPr>
      <t xml:space="preserve">（相隔 </t>
    </r>
    <r>
      <rPr>
        <sz val="10"/>
        <rFont val="Arial"/>
        <family val="0"/>
        <charset val="1"/>
      </rPr>
      <t xml:space="preserve">0.8 </t>
    </r>
    <r>
      <rPr>
        <sz val="10"/>
        <rFont val="Noto Sans CJK SC"/>
        <family val="2"/>
      </rPr>
      <t xml:space="preserve">天），手术 </t>
    </r>
    <r>
      <rPr>
        <sz val="10"/>
        <rFont val="Arial"/>
        <family val="0"/>
        <charset val="1"/>
      </rPr>
      <t xml:space="preserve">2024-11-21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2.4 </t>
    </r>
    <r>
      <rPr>
        <sz val="10"/>
        <rFont val="Noto Sans CJK SC"/>
        <family val="2"/>
      </rPr>
      <t xml:space="preserve">天）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</si>
  <si>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误差方向</t>
    </r>
  </si>
  <si>
    <t xml:space="preserve">All 7 discordances … two … 3 over-calls … Ten corrections … 7 in one direction and 3 in the other</t>
  </si>
  <si>
    <r>
      <rPr>
        <sz val="10"/>
        <rFont val="Noto Sans CJK SC"/>
        <family val="2"/>
      </rPr>
      <t xml:space="preserve">【一致】样本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不一致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（均为机判阴、医师判阳）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样本</t>
    </r>
    <r>
      <rPr>
        <sz val="10"/>
        <rFont val="Arial"/>
        <family val="0"/>
        <charset val="1"/>
      </rPr>
      <t xml:space="preserve">2 5 = 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+ 3 = 10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</si>
  <si>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 </t>
    </r>
    <r>
      <rPr>
        <sz val="10"/>
        <rFont val="Noto Sans CJK SC"/>
        <family val="2"/>
      </rPr>
      <t xml:space="preserve">局限</t>
    </r>
  </si>
  <si>
    <t xml:space="preserve">one adjudicator … two independent adjudicators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</si>
  <si>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J</t>
    </r>
  </si>
  <si>
    <t xml:space="preserve">723 … 716 of 723 (99.0%): 291 of 293 (99.3%), 309 of 313 (98.7%), 116 of 117 (99.1%); seven … under-calls</t>
  </si>
  <si>
    <r>
      <rPr>
        <sz val="10"/>
        <rFont val="Noto Sans CJK SC"/>
        <family val="2"/>
      </rPr>
      <t xml:space="preserve">【一致】独立调用 </t>
    </r>
    <r>
      <rPr>
        <sz val="10"/>
        <rFont val="Arial"/>
        <family val="0"/>
        <charset val="1"/>
      </rPr>
      <t xml:space="preserve">Supplement_1_classifier.py</t>
    </r>
    <r>
      <rPr>
        <sz val="10"/>
        <rFont val="Noto Sans CJK SC"/>
        <family val="2"/>
      </rPr>
      <t xml:space="preserve">：总 </t>
    </r>
    <r>
      <rPr>
        <sz val="10"/>
        <rFont val="Arial"/>
        <family val="0"/>
        <charset val="1"/>
      </rPr>
      <t xml:space="preserve">716/723 = 99.03%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291/293 = 99.32%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309/313 = 98.72%</t>
    </r>
    <r>
      <rPr>
        <sz val="10"/>
        <rFont val="Noto Sans CJK SC"/>
        <family val="2"/>
      </rPr>
      <t xml:space="preserve">；超声 </t>
    </r>
    <r>
      <rPr>
        <sz val="10"/>
        <rFont val="Arial"/>
        <family val="0"/>
        <charset val="1"/>
      </rPr>
      <t xml:space="preserve">116/117 = 99.15%</t>
    </r>
    <r>
      <rPr>
        <sz val="10"/>
        <rFont val="Noto Sans CJK SC"/>
        <family val="2"/>
      </rPr>
      <t xml:space="preserve">；漏判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、多判 </t>
    </r>
    <r>
      <rPr>
        <sz val="10"/>
        <rFont val="Arial"/>
        <family val="0"/>
        <charset val="1"/>
      </rPr>
      <t xml:space="preserve">0</t>
    </r>
  </si>
  <si>
    <t xml:space="preserve">7 … 10 … two … 723</t>
  </si>
  <si>
    <t xml:space="preserve">【一致】同上</t>
  </si>
  <si>
    <t xml:space="preserve">The 7 share the failure modes … in one ultrasound unit the label reflects an earlier examination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</si>
  <si>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个不一致单元：</t>
    </r>
    <r>
      <rPr>
        <sz val="10"/>
        <rFont val="Arial"/>
        <family val="0"/>
        <charset val="1"/>
      </rPr>
      <t xml:space="preserve">955038 UGI</t>
    </r>
    <r>
      <rPr>
        <sz val="10"/>
        <rFont val="Noto Sans CJK SC"/>
        <family val="2"/>
      </rPr>
      <t xml:space="preserve">（征象只在所见）、</t>
    </r>
    <r>
      <rPr>
        <sz val="10"/>
        <rFont val="Arial"/>
        <family val="0"/>
        <charset val="1"/>
      </rPr>
      <t xml:space="preserve">442644/3824467/8294385 CT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8325283 UGI</t>
    </r>
    <r>
      <rPr>
        <sz val="10"/>
        <rFont val="Noto Sans CJK SC"/>
        <family val="2"/>
      </rPr>
      <t xml:space="preserve">（形态描述）、</t>
    </r>
    <r>
      <rPr>
        <sz val="10"/>
        <rFont val="Arial"/>
        <family val="0"/>
        <charset val="1"/>
      </rPr>
      <t xml:space="preserve">5001066 CT</t>
    </r>
    <r>
      <rPr>
        <sz val="10"/>
        <rFont val="Noto Sans CJK SC"/>
        <family val="2"/>
      </rPr>
      <t xml:space="preserve">（交叉引用）、</t>
    </r>
    <r>
      <rPr>
        <sz val="10"/>
        <rFont val="Arial"/>
        <family val="0"/>
        <charset val="1"/>
      </rPr>
      <t xml:space="preserve">35792266 </t>
    </r>
    <r>
      <rPr>
        <sz val="10"/>
        <rFont val="Noto Sans CJK SC"/>
        <family val="2"/>
      </rPr>
      <t xml:space="preserve">超声（标签来自更早检查）</t>
    </r>
  </si>
  <si>
    <t xml:space="preserve">two limitations … two sets … seven units</t>
  </si>
  <si>
    <r>
      <rPr>
        <sz val="10"/>
        <rFont val="Noto Sans CJK SC"/>
        <family val="2"/>
      </rPr>
      <t xml:space="preserve">【一致】描述性；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与上文一致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</si>
  <si>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G2</t>
    </r>
  </si>
  <si>
    <t xml:space="preserve">711 … 499 … 559 … 503 records in 465 … 15 … 484 records in 450 … 34 children not returned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</si>
  <si>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499/559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503/465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484/450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34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</si>
  <si>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H</t>
    </r>
  </si>
  <si>
    <t xml:space="preserve">two … one</t>
  </si>
  <si>
    <t xml:space="preserve">four terms … two of its three matches … 117 of 117 … 108 … 111 … 114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</si>
  <si>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</rPr>
      <t xml:space="preserve">模式含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个术语（水平部、水平段、横部、第三段）；模式与人工一致：</t>
    </r>
    <r>
      <rPr>
        <sz val="10"/>
        <rFont val="Arial"/>
        <family val="0"/>
        <charset val="1"/>
      </rPr>
      <t xml:space="preserve">D3 117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DJJ 117</t>
    </r>
    <r>
      <rPr>
        <sz val="10"/>
        <rFont val="Noto Sans CJK SC"/>
        <family val="2"/>
      </rPr>
      <t xml:space="preserve">、给液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、动静脉 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、肠气 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、漩涡征 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/117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主动脉模式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个匹配中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个为心脏或肾静脉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为早期开发记录，无法从现有输出复核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</si>
  <si>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</t>
    </r>
  </si>
  <si>
    <t xml:space="preserve">three steps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</si>
  <si>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</t>
    </r>
    <r>
      <rPr>
        <sz val="10"/>
        <rFont val="Arial"/>
        <family val="0"/>
        <charset val="1"/>
      </rPr>
      <t xml:space="preserve">S1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</si>
  <si>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K1</t>
    </r>
  </si>
  <si>
    <t xml:space="preserve">34 children: 30 … and 4 … It was in 19. In 6 … and in 9 … These 15 … 11 of them had an index test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</si>
  <si>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34 = 30 + 4</t>
    </r>
    <r>
      <rPr>
        <sz val="10"/>
        <rFont val="Noto Sans CJK SC"/>
        <family val="2"/>
      </rPr>
      <t xml:space="preserve">；保留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、非本次确认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、复发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；排除者在原矩阵中有索引检查 </t>
    </r>
    <r>
      <rPr>
        <sz val="10"/>
        <rFont val="Arial"/>
        <family val="0"/>
        <charset val="1"/>
      </rPr>
      <t xml:space="preserve">11</t>
    </r>
  </si>
  <si>
    <t xml:space="preserve">not blinded … the 15 index examinations of the excluded children included 10 labeled positive (UGI series 6 of 7, CT 4 of 7, ultrasound 0 of 1) … 64 of 118 (54.2%) rather than 64 of 117 (54.7%)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</si>
  <si>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核对表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现有检出标签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列：排除者索引检查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次，阳性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6/7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 4/7</t>
    </r>
    <r>
      <rPr>
        <sz val="10"/>
        <rFont val="Noto Sans CJK SC"/>
        <family val="2"/>
      </rPr>
      <t xml:space="preserve">、超声 </t>
    </r>
    <r>
      <rPr>
        <sz val="10"/>
        <rFont val="Arial"/>
        <family val="0"/>
        <charset val="1"/>
      </rPr>
      <t xml:space="preserve">0/1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64/118 = 54.24%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64/117 = 54.70%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</si>
  <si>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K2</t>
    </r>
  </si>
  <si>
    <t xml:space="preserve">154 … 27 … 7 days … Three … one … 374 days … One … three … one … one … one</t>
  </si>
  <si>
    <r>
      <rPr>
        <sz val="10"/>
        <rFont val="Noto Sans CJK SC"/>
        <family val="2"/>
      </rPr>
      <t xml:space="preserve">【一致】当日 </t>
    </r>
    <r>
      <rPr>
        <sz val="10"/>
        <rFont val="Arial"/>
        <family val="0"/>
        <charset val="1"/>
      </rPr>
      <t xml:space="preserve">154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&gt;7 </t>
    </r>
    <r>
      <rPr>
        <sz val="10"/>
        <rFont val="Noto Sans CJK SC"/>
        <family val="2"/>
      </rPr>
      <t xml:space="preserve">天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；术后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（其一属已排除患儿 </t>
    </r>
    <r>
      <rPr>
        <sz val="10"/>
        <rFont val="Arial"/>
        <family val="0"/>
        <charset val="1"/>
      </rPr>
      <t xml:space="preserve">8336031</t>
    </r>
    <r>
      <rPr>
        <sz val="10"/>
        <rFont val="Noto Sans CJK SC"/>
        <family val="2"/>
      </rPr>
      <t xml:space="preserve">）；无关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374 </t>
    </r>
    <r>
      <rPr>
        <sz val="10"/>
        <rFont val="Noto Sans CJK SC"/>
        <family val="2"/>
      </rPr>
      <t xml:space="preserve">天）；无法判断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；队列内删除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</si>
  <si>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K3</t>
    </r>
  </si>
  <si>
    <t xml:space="preserve">Two readers … 119 … twelve … two … one … Five of 1,428 … four examinations … Two of the 119 … 117</t>
  </si>
  <si>
    <r>
      <rPr>
        <sz val="10"/>
        <rFont val="Noto Sans CJK SC"/>
        <family val="2"/>
      </rPr>
      <t xml:space="preserve">【一致】阅读 </t>
    </r>
    <r>
      <rPr>
        <sz val="10"/>
        <rFont val="Arial"/>
        <family val="0"/>
        <charset val="1"/>
      </rPr>
      <t xml:space="preserve">119 </t>
    </r>
    <r>
      <rPr>
        <sz val="10"/>
        <rFont val="Noto Sans CJK SC"/>
        <family val="2"/>
      </rPr>
      <t xml:space="preserve">份 </t>
    </r>
    <r>
      <rPr>
        <sz val="10"/>
        <rFont val="Arial"/>
        <family val="0"/>
        <charset val="1"/>
      </rPr>
      <t xml:space="preserve">× 12 </t>
    </r>
    <r>
      <rPr>
        <sz val="10"/>
        <rFont val="Noto Sans CJK SC"/>
        <family val="2"/>
      </rPr>
      <t xml:space="preserve">项 </t>
    </r>
    <r>
      <rPr>
        <sz val="10"/>
        <rFont val="Arial"/>
        <family val="0"/>
        <charset val="1"/>
      </rPr>
      <t xml:space="preserve">= 1428</t>
    </r>
    <r>
      <rPr>
        <sz val="10"/>
        <rFont val="Noto Sans CJK SC"/>
        <family val="2"/>
      </rPr>
      <t xml:space="preserve">；不一致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格、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份；</t>
    </r>
    <r>
      <rPr>
        <sz val="10"/>
        <rFont val="Arial"/>
        <family val="0"/>
        <charset val="1"/>
      </rPr>
      <t xml:space="preserve">119−2 = 117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</si>
  <si>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</rPr>
      <t xml:space="preserve">注</t>
    </r>
  </si>
  <si>
    <t xml:space="preserve">119 … 117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</si>
  <si>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S2.1</t>
    </r>
  </si>
  <si>
    <t xml:space="preserve">398 children, 723 … odds ratio (OR) below 1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</si>
  <si>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398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723</t>
    </r>
  </si>
  <si>
    <t xml:space="preserve">three … five children … interaction OR was 0.92 (95% CI 0.32–2.66, p=0.87)</t>
  </si>
  <si>
    <r>
      <rPr>
        <sz val="10"/>
        <rFont val="Noto Sans CJK SC"/>
        <family val="2"/>
      </rPr>
      <t xml:space="preserve">【一致】超声无扭转 </t>
    </r>
    <r>
      <rPr>
        <sz val="10"/>
        <rFont val="Arial"/>
        <family val="0"/>
        <charset val="1"/>
      </rPr>
      <t xml:space="preserve">0/5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UGI vs CT × </t>
    </r>
    <r>
      <rPr>
        <sz val="10"/>
        <rFont val="Noto Sans CJK SC"/>
        <family val="2"/>
      </rPr>
      <t xml:space="preserve">扭转交互 </t>
    </r>
    <r>
      <rPr>
        <sz val="10"/>
        <rFont val="Arial"/>
        <family val="0"/>
        <charset val="1"/>
      </rPr>
      <t xml:space="preserve">OR 0.917 (0.316–2.663)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= 0.873</t>
    </r>
    <r>
      <rPr>
        <sz val="10"/>
        <rFont val="Noto Sans CJK SC"/>
        <family val="2"/>
      </rPr>
      <t xml:space="preserve">（同一软件重拟合）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</si>
  <si>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S2.2</t>
    </r>
  </si>
  <si>
    <t xml:space="preserve">96.6%, 83.1%, 62.7% … 87.9%, 67.3% and 29.5% of the other 339</t>
  </si>
  <si>
    <r>
      <rPr>
        <sz val="10"/>
        <rFont val="Noto Sans CJK SC"/>
        <family val="2"/>
      </rPr>
      <t xml:space="preserve">【一致】三项组 </t>
    </r>
    <r>
      <rPr>
        <sz val="10"/>
        <rFont val="Arial"/>
        <family val="0"/>
        <charset val="1"/>
      </rPr>
      <t xml:space="preserve">96.61/83.05/62.71</t>
    </r>
    <r>
      <rPr>
        <sz val="10"/>
        <rFont val="Noto Sans CJK SC"/>
        <family val="2"/>
      </rPr>
      <t xml:space="preserve">；其余 </t>
    </r>
    <r>
      <rPr>
        <sz val="10"/>
        <rFont val="Arial"/>
        <family val="0"/>
        <charset val="1"/>
      </rPr>
      <t xml:space="preserve">339 </t>
    </r>
    <r>
      <rPr>
        <sz val="10"/>
        <rFont val="Noto Sans CJK SC"/>
        <family val="2"/>
      </rPr>
      <t xml:space="preserve">例 </t>
    </r>
    <r>
      <rPr>
        <sz val="10"/>
        <rFont val="Arial"/>
        <family val="0"/>
        <charset val="1"/>
      </rPr>
      <t xml:space="preserve">87.91/67.26/29.50</t>
    </r>
  </si>
  <si>
    <t xml:space="preserve">median 0.9 days, interquartile range 0.6–1.6 … 48 h … 24 h</t>
  </si>
  <si>
    <r>
      <rPr>
        <sz val="10"/>
        <rFont val="Noto Sans CJK SC"/>
        <family val="2"/>
      </rPr>
      <t xml:space="preserve">【一致】中位 </t>
    </r>
    <r>
      <rPr>
        <sz val="10"/>
        <rFont val="Arial"/>
        <family val="0"/>
        <charset val="1"/>
      </rPr>
      <t xml:space="preserve">0.92 </t>
    </r>
    <r>
      <rPr>
        <sz val="10"/>
        <rFont val="Noto Sans CJK SC"/>
        <family val="2"/>
      </rPr>
      <t xml:space="preserve">天（</t>
    </r>
    <r>
      <rPr>
        <sz val="10"/>
        <rFont val="Arial"/>
        <family val="0"/>
        <charset val="1"/>
      </rPr>
      <t xml:space="preserve">0.62–1.62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</si>
  <si>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图注</t>
    </r>
  </si>
  <si>
    <t xml:space="preserve">59 children … 48 h … 24 h … Wilson 95%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</si>
  <si>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S5 </t>
    </r>
    <r>
      <rPr>
        <sz val="10"/>
        <rFont val="Noto Sans CJK SC"/>
        <family val="2"/>
      </rPr>
      <t xml:space="preserve">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</si>
  <si>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S2.3</t>
    </r>
  </si>
  <si>
    <t xml:space="preserve">(0 of 5) … 5 of the 53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</si>
  <si>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0/5</t>
    </r>
    <r>
      <rPr>
        <sz val="10"/>
        <rFont val="Noto Sans CJK SC"/>
        <family val="2"/>
      </rPr>
      <t xml:space="preserve">；无扭转 </t>
    </r>
    <r>
      <rPr>
        <sz val="10"/>
        <rFont val="Arial"/>
        <family val="0"/>
        <charset val="1"/>
      </rPr>
      <t xml:space="preserve">53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</si>
  <si>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S2.4</t>
    </r>
  </si>
  <si>
    <t xml:space="preserve">59 of 112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</si>
  <si>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59/112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</si>
  <si>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S2.5 </t>
    </r>
    <r>
      <rPr>
        <sz val="10"/>
        <rFont val="Noto Sans CJK SC"/>
        <family val="2"/>
      </rPr>
      <t xml:space="preserve">分期边界</t>
    </r>
  </si>
  <si>
    <t xml:space="preserve">significance only at 2020 … examination-type OR 3.21–4.04, all p≤0.005 … adjusted era term non-significant at every boundary</t>
  </si>
  <si>
    <r>
      <rPr>
        <sz val="10"/>
        <rFont val="Noto Sans CJK SC"/>
        <family val="2"/>
      </rPr>
      <t xml:space="preserve">【一致】粗 </t>
    </r>
    <r>
      <rPr>
        <sz val="10"/>
        <rFont val="Arial"/>
        <family val="0"/>
        <charset val="1"/>
      </rPr>
      <t xml:space="preserve">OR 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2019 0.060, 2020 0.013, 2021 0.106, 2022 0.691</t>
    </r>
    <r>
      <rPr>
        <sz val="10"/>
        <rFont val="Noto Sans CJK SC"/>
        <family val="2"/>
      </rPr>
      <t xml:space="preserve">；调整后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2019 0.397, 2020 0.183, 2021 0.638, 2022 0.700</t>
    </r>
    <r>
      <rPr>
        <sz val="10"/>
        <rFont val="Noto Sans CJK SC"/>
        <family val="2"/>
      </rPr>
      <t xml:space="preserve">；检查类型 </t>
    </r>
    <r>
      <rPr>
        <sz val="10"/>
        <rFont val="Arial"/>
        <family val="0"/>
        <charset val="1"/>
      </rPr>
      <t xml:space="preserve">OR P </t>
    </r>
    <r>
      <rPr>
        <sz val="10"/>
        <rFont val="Noto Sans CJK SC"/>
        <family val="2"/>
      </rPr>
      <t xml:space="preserve">最大 </t>
    </r>
    <r>
      <rPr>
        <sz val="10"/>
        <rFont val="Arial"/>
        <family val="0"/>
        <charset val="1"/>
      </rPr>
      <t xml:space="preserve">0.0054</t>
    </r>
    <r>
      <rPr>
        <sz val="10"/>
        <rFont val="Noto Sans CJK SC"/>
        <family val="2"/>
      </rPr>
      <t xml:space="preserve">；文字与 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值一致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</si>
  <si>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S2.5</t>
    </r>
  </si>
  <si>
    <t xml:space="preserve">reduces the era difference by about half at 2019 and 2020 and by most of it at 2021 and 2022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</si>
  <si>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AME </t>
    </r>
    <r>
      <rPr>
        <sz val="10"/>
        <rFont val="Noto Sans CJK SC"/>
        <family val="2"/>
      </rPr>
      <t xml:space="preserve">降幅：</t>
    </r>
    <r>
      <rPr>
        <sz val="10"/>
        <rFont val="Arial"/>
        <family val="0"/>
        <charset val="1"/>
      </rPr>
      <t xml:space="preserve">2019 55%, 2020 45%, 2021 71%, 2022 194%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</si>
  <si>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S2.5 </t>
    </r>
    <r>
      <rPr>
        <sz val="10"/>
        <rFont val="Noto Sans CJK SC"/>
        <family val="2"/>
      </rPr>
      <t xml:space="preserve">索引单位</t>
    </r>
  </si>
  <si>
    <t xml:space="preserve">three of 117 … 106 children … 11 earlier episodes … two describe vessels encircling a mass</t>
  </si>
  <si>
    <r>
      <rPr>
        <sz val="10"/>
        <rFont val="Noto Sans CJK SC"/>
        <family val="2"/>
      </rPr>
      <t xml:space="preserve">【一致】最早检查次与最近相同 </t>
    </r>
    <r>
      <rPr>
        <sz val="10"/>
        <rFont val="Arial"/>
        <family val="0"/>
        <charset val="1"/>
      </rPr>
      <t xml:space="preserve">117−11 = 106</t>
    </r>
    <r>
      <rPr>
        <sz val="10"/>
        <rFont val="Noto Sans CJK SC"/>
        <family val="2"/>
      </rPr>
      <t xml:space="preserve">；表 </t>
    </r>
    <r>
      <rPr>
        <sz val="10"/>
        <rFont val="Arial"/>
        <family val="0"/>
        <charset val="1"/>
      </rPr>
      <t xml:space="preserve">S9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3/117 (2.6%) / 3/117 (2.6%)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</si>
  <si>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S2.5 </t>
    </r>
    <r>
      <rPr>
        <sz val="10"/>
        <rFont val="Noto Sans CJK SC"/>
        <family val="2"/>
      </rPr>
      <t xml:space="preserve">扭转定义</t>
    </r>
  </si>
  <si>
    <t xml:space="preserve">397 … 322 had a stated degree (303 ≥360° and 19 of 90–270°) and 75 … the 19 … the 75</t>
  </si>
  <si>
    <r>
      <rPr>
        <sz val="10"/>
        <rFont val="Noto Sans CJK SC"/>
        <family val="2"/>
      </rPr>
      <t xml:space="preserve">【一致】扭转 </t>
    </r>
    <r>
      <rPr>
        <sz val="10"/>
        <rFont val="Arial"/>
        <family val="0"/>
        <charset val="1"/>
      </rPr>
      <t xml:space="preserve">397</t>
    </r>
    <r>
      <rPr>
        <sz val="10"/>
        <rFont val="Noto Sans CJK SC"/>
        <family val="2"/>
      </rPr>
      <t xml:space="preserve">；有度数 </t>
    </r>
    <r>
      <rPr>
        <sz val="10"/>
        <rFont val="Arial"/>
        <family val="0"/>
        <charset val="1"/>
      </rPr>
      <t xml:space="preserve">322 = 303 + 19</t>
    </r>
    <r>
      <rPr>
        <sz val="10"/>
        <rFont val="Noto Sans CJK SC"/>
        <family val="2"/>
      </rPr>
      <t xml:space="preserve">；无度数 </t>
    </r>
    <r>
      <rPr>
        <sz val="10"/>
        <rFont val="Arial"/>
        <family val="0"/>
        <charset val="1"/>
      </rPr>
      <t xml:space="preserve">75</t>
    </r>
  </si>
  <si>
    <t xml:space="preserve">88.2% to 84.0% … 95.7% to 88.0% … 67.3% and 75.2% … (52.7%, 54.4% and 59.1%)</t>
  </si>
  <si>
    <r>
      <rPr>
        <sz val="10"/>
        <rFont val="Noto Sans CJK SC"/>
        <family val="2"/>
      </rPr>
      <t xml:space="preserve">【一致】全队列 </t>
    </r>
    <r>
      <rPr>
        <sz val="10"/>
        <rFont val="Arial"/>
        <family val="0"/>
        <charset val="1"/>
      </rPr>
      <t xml:space="preserve">397/450 → 378/450 → 303/450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84.00%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67.33%</t>
    </r>
    <r>
      <rPr>
        <sz val="10"/>
        <rFont val="Noto Sans CJK SC"/>
        <family val="2"/>
      </rPr>
      <t xml:space="preserve">）；超声 </t>
    </r>
    <r>
      <rPr>
        <sz val="10"/>
        <rFont val="Arial"/>
        <family val="0"/>
        <charset val="1"/>
      </rPr>
      <t xml:space="preserve">112/117 → 103 → 88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95.73%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88.03%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75.21%</t>
    </r>
    <r>
      <rPr>
        <sz val="10"/>
        <rFont val="Noto Sans CJK SC"/>
        <family val="2"/>
      </rPr>
      <t xml:space="preserve">）；漩涡征 </t>
    </r>
    <r>
      <rPr>
        <sz val="10"/>
        <rFont val="Arial"/>
        <family val="0"/>
        <charset val="1"/>
      </rPr>
      <t xml:space="preserve">59/112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56/103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52/88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</si>
  <si>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S2.6</t>
    </r>
  </si>
  <si>
    <t xml:space="preserve">2,000 resamples … −0.2 … more than half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</si>
  <si>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bootstrap </t>
    </r>
    <r>
      <rPr>
        <sz val="10"/>
        <rFont val="Noto Sans CJK SC"/>
        <family val="2"/>
      </rPr>
      <t xml:space="preserve">下限 </t>
    </r>
    <r>
      <rPr>
        <sz val="10"/>
        <rFont val="Arial"/>
        <family val="0"/>
        <charset val="1"/>
      </rPr>
      <t xml:space="preserve">-0.22</t>
    </r>
    <r>
      <rPr>
        <sz val="10"/>
        <rFont val="Noto Sans CJK SC"/>
        <family val="2"/>
      </rPr>
      <t xml:space="preserve">；降幅 </t>
    </r>
    <r>
      <rPr>
        <sz val="10"/>
        <rFont val="Arial"/>
        <family val="0"/>
        <charset val="1"/>
      </rPr>
      <t xml:space="preserve">55%</t>
    </r>
  </si>
  <si>
    <t xml:space="preserve">59 children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</si>
  <si>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59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</si>
  <si>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S2.6 Firth</t>
    </r>
  </si>
  <si>
    <t xml:space="preserve">Wald 0.60 to 357 … profile 1.60 to 1938 (p=0.013) … five children … (64.5 × 5.5)/(48.5 × 0.5) = 14.6</t>
  </si>
  <si>
    <r>
      <rPr>
        <sz val="10"/>
        <rFont val="Noto Sans CJK SC"/>
        <family val="2"/>
      </rPr>
      <t xml:space="preserve">【一致】闭式解 </t>
    </r>
    <r>
      <rPr>
        <sz val="10"/>
        <rFont val="Arial"/>
        <family val="0"/>
        <charset val="1"/>
      </rPr>
      <t xml:space="preserve">(64.5 × 5.5)/(48.5 × 0.5) = 14.629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Wald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profile </t>
    </r>
    <r>
      <rPr>
        <sz val="10"/>
        <rFont val="Noto Sans CJK SC"/>
        <family val="2"/>
      </rPr>
      <t xml:space="preserve">区间、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值为原程序（</t>
    </r>
    <r>
      <rPr>
        <sz val="10"/>
        <rFont val="Arial"/>
        <family val="0"/>
        <charset val="1"/>
      </rPr>
      <t xml:space="preserve">firth.py</t>
    </r>
    <r>
      <rPr>
        <sz val="10"/>
        <rFont val="Noto Sans CJK SC"/>
        <family val="2"/>
      </rPr>
      <t xml:space="preserve">）结果，无独立实现可比；</t>
    </r>
    <r>
      <rPr>
        <sz val="10"/>
        <rFont val="Arial"/>
        <family val="0"/>
        <charset val="1"/>
      </rPr>
      <t xml:space="preserve">"neither interaction significant"</t>
    </r>
    <r>
      <rPr>
        <sz val="10"/>
        <rFont val="Noto Sans CJK SC"/>
        <family val="2"/>
      </rPr>
      <t xml:space="preserve">：超声 </t>
    </r>
    <r>
      <rPr>
        <sz val="10"/>
        <rFont val="Arial"/>
        <family val="0"/>
        <charset val="1"/>
      </rPr>
      <t xml:space="preserve">P .957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 P .732</t>
    </r>
  </si>
  <si>
    <t xml:space="preserve">2019 … two … one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</si>
  <si>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描述性数字】定义性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</si>
  <si>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注</t>
    </r>
  </si>
  <si>
    <t xml:space="preserve">two readers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</si>
  <si>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正文</t>
    </r>
  </si>
  <si>
    <t xml:space="preserve">duodenojejunal junction … (51.9%) … jejunal position in 70.3% … mesenteric whirl 36.7% … contrast enhancement 16.0%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</si>
  <si>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152/293 = 51.88%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206/293 = 70.31%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115/313 = 36.74%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50/313 = 15.97%</t>
    </r>
    <r>
      <rPr>
        <sz val="10"/>
        <rFont val="Noto Sans CJK SC"/>
        <family val="2"/>
      </rPr>
      <t xml:space="preserve">（计数为文本模式编码，原程序复算）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</si>
  <si>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A</t>
    </r>
  </si>
  <si>
    <t xml:space="preserve">Menten 2012; Hennessey 2014; Nguyen 2021, 2022 and 2025; McCurdie 2024; Shimanuki 1996; El-Ali 2025</t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</si>
  <si>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描述性数字】与参考文献 </t>
    </r>
    <r>
      <rPr>
        <sz val="10"/>
        <rFont val="Arial"/>
        <family val="0"/>
        <charset val="1"/>
      </rPr>
      <t xml:space="preserve">[16] [17] [11] [12] [13] [15] [22] [27] </t>
    </r>
    <r>
      <rPr>
        <sz val="10"/>
        <rFont val="Noto Sans CJK SC"/>
        <family val="2"/>
      </rPr>
      <t xml:space="preserve">的年份一致</t>
    </r>
  </si>
  <si>
    <t xml:space="preserve">El-Ali 2025, in which 25.7% of examinations for malrotation and 13.5% for volvulus were non-diagnostic on the original report</t>
  </si>
  <si>
    <r>
      <rPr>
        <sz val="10"/>
        <rFont val="Noto Sans CJK SC"/>
        <family val="2"/>
      </rPr>
      <t xml:space="preserve">【一致】文献 </t>
    </r>
    <r>
      <rPr>
        <sz val="10"/>
        <rFont val="Arial"/>
        <family val="0"/>
        <charset val="1"/>
      </rPr>
      <t xml:space="preserve">[28]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malrotation 80/311 = 25.7%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volvulus 86/637 = 13.5%</t>
    </r>
    <r>
      <rPr>
        <sz val="10"/>
        <rFont val="Noto Sans CJK SC"/>
        <family val="2"/>
      </rPr>
      <t xml:space="preserve">（原始报告；盲法复读 </t>
    </r>
    <r>
      <rPr>
        <sz val="10"/>
        <rFont val="Arial"/>
        <family val="0"/>
        <charset val="1"/>
      </rPr>
      <t xml:space="preserve">37.6%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17.3%</t>
    </r>
    <r>
      <rPr>
        <sz val="10"/>
        <rFont val="Noto Sans CJK SC"/>
        <family val="2"/>
      </rPr>
      <t xml:space="preserve">），与正文讨论第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段一致；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检索核对摘要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</si>
  <si>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A </t>
    </r>
    <r>
      <rPr>
        <sz val="10"/>
        <rFont val="Noto Sans CJK SC"/>
        <family val="2"/>
      </rPr>
      <t xml:space="preserve">表注</t>
    </r>
  </si>
  <si>
    <t xml:space="preserve">the 117 ultrasound index examinations by the two readers</t>
  </si>
  <si>
    <r>
      <rPr>
        <sz val="10"/>
        <rFont val="Noto Sans CJK SC"/>
        <family val="2"/>
      </rPr>
      <t xml:space="preserve">【一致】超声索引检查 </t>
    </r>
    <r>
      <rPr>
        <sz val="10"/>
        <rFont val="Arial"/>
        <family val="0"/>
        <charset val="1"/>
      </rPr>
      <t xml:space="preserve">117 </t>
    </r>
    <r>
      <rPr>
        <sz val="10"/>
        <rFont val="Noto Sans CJK SC"/>
        <family val="2"/>
      </rPr>
      <t xml:space="preserve">次；两位阅读者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</si>
  <si>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B </t>
    </r>
    <r>
      <rPr>
        <sz val="10"/>
        <rFont val="Noto Sans CJK SC"/>
        <family val="2"/>
      </rPr>
      <t xml:space="preserve">编码</t>
    </r>
  </si>
  <si>
    <t xml:space="preserve">the pattern for the artery–vein relationship disagreed with the readers' consensus in 9 of 117 examinations</t>
  </si>
  <si>
    <r>
      <rPr>
        <sz val="10"/>
        <rFont val="Noto Sans CJK SC"/>
        <family val="2"/>
      </rPr>
      <t xml:space="preserve">【一致】动静脉关系：模式与共识一致 </t>
    </r>
    <r>
      <rPr>
        <sz val="10"/>
        <rFont val="Arial"/>
        <family val="0"/>
        <charset val="1"/>
      </rPr>
      <t xml:space="preserve">108/117</t>
    </r>
    <r>
      <rPr>
        <sz val="10"/>
        <rFont val="Noto Sans CJK SC"/>
        <family val="2"/>
      </rPr>
      <t xml:space="preserve">，不一致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（与表 </t>
    </r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</rPr>
      <t xml:space="preserve">末列 </t>
    </r>
    <r>
      <rPr>
        <sz val="10"/>
        <rFont val="Arial"/>
        <family val="0"/>
        <charset val="1"/>
      </rPr>
      <t xml:space="preserve">108 </t>
    </r>
    <r>
      <rPr>
        <sz val="10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</si>
  <si>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B </t>
    </r>
    <r>
      <rPr>
        <sz val="10"/>
        <rFont val="Noto Sans CJK SC"/>
        <family val="2"/>
      </rPr>
      <t xml:space="preserve">指标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</si>
  <si>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Third portion of the duodenum (D3)</t>
    </r>
  </si>
  <si>
    <t xml:space="preserve">3 (2.6)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</si>
  <si>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3/117 = 2.56%</t>
    </r>
    <r>
      <rPr>
        <sz val="10"/>
        <rFont val="Noto Sans CJK SC"/>
        <family val="2"/>
      </rPr>
      <t xml:space="preserve">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合并为</t>
    </r>
    <r>
      <rPr>
        <sz val="10"/>
        <rFont val="Arial"/>
        <family val="0"/>
        <charset val="1"/>
      </rPr>
      <t xml:space="preserve">"D3 </t>
    </r>
    <r>
      <rPr>
        <sz val="10"/>
        <rFont val="Noto Sans CJK SC"/>
        <family val="2"/>
      </rPr>
      <t xml:space="preserve">或十二指肠空肠曲</t>
    </r>
    <r>
      <rPr>
        <sz val="10"/>
        <rFont val="Arial"/>
        <family val="0"/>
        <charset val="1"/>
      </rPr>
      <t xml:space="preserve">"3 </t>
    </r>
    <r>
      <rPr>
        <sz val="10"/>
        <rFont val="Noto Sans CJK SC"/>
        <family val="2"/>
      </rPr>
      <t xml:space="preserve">例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</si>
  <si>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Duodenojejunal junction</t>
    </r>
  </si>
  <si>
    <t xml:space="preserve">1 (0.9)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</si>
  <si>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1/117 = 0.85%</t>
    </r>
    <r>
      <rPr>
        <sz val="10"/>
        <rFont val="Noto Sans CJK SC"/>
        <family val="2"/>
      </rPr>
      <t xml:space="preserve">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合并为</t>
    </r>
    <r>
      <rPr>
        <sz val="10"/>
        <rFont val="Arial"/>
        <family val="0"/>
        <charset val="1"/>
      </rPr>
      <t xml:space="preserve">"D3 </t>
    </r>
    <r>
      <rPr>
        <sz val="10"/>
        <rFont val="Noto Sans CJK SC"/>
        <family val="2"/>
      </rPr>
      <t xml:space="preserve">或十二指肠空肠曲</t>
    </r>
    <r>
      <rPr>
        <sz val="10"/>
        <rFont val="Arial"/>
        <family val="0"/>
        <charset val="1"/>
      </rPr>
      <t xml:space="preserve">"3 </t>
    </r>
    <r>
      <rPr>
        <sz val="10"/>
        <rFont val="Noto Sans CJK SC"/>
        <family val="2"/>
      </rPr>
      <t xml:space="preserve">例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</si>
  <si>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Superior mesenteric artery–vein relationship</t>
    </r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</si>
  <si>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3/117 = 2.56%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</si>
  <si>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Enteric fluid</t>
    </r>
  </si>
  <si>
    <t xml:space="preserve">2 (1.7)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</si>
  <si>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2/117 = 1.71%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</si>
  <si>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Dynamic assessment</t>
    </r>
  </si>
  <si>
    <t xml:space="preserve">4 (3.4)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</si>
  <si>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4/117 = 3.42%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</si>
  <si>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Graded compression</t>
    </r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</si>
  <si>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1/117 = 0.85%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</si>
  <si>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Color Doppler of the mesenteric vessels</t>
    </r>
  </si>
  <si>
    <t xml:space="preserve">114 (97.4)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</si>
  <si>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114/117 = 97.44%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</si>
  <si>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Whirlpool sign</t>
    </r>
  </si>
  <si>
    <t xml:space="preserve">59 (50.4)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</si>
  <si>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59/117 = 50.43%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</si>
  <si>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Study adequacy</t>
    </r>
  </si>
  <si>
    <t xml:space="preserve">36 (30.8)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</si>
  <si>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36/117 = 30.77%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</si>
  <si>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Duodenum mentioned in any form</t>
    </r>
  </si>
  <si>
    <t xml:space="preserve">7 (6.0)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</si>
  <si>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7/117 = 5.98%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</si>
  <si>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Explicit statement of vessel inversion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</si>
  <si>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S19 · Cecal position</t>
    </r>
  </si>
  <si>
    <t xml:space="preserve">5 (4.3)</t>
  </si>
  <si>
    <r>
      <rPr>
        <sz val="10"/>
        <rFont val="Noto Sans CJK SC"/>
        <family val="2"/>
      </rPr>
      <t xml:space="preserve">【一致】两位阅读者共识 </t>
    </r>
    <r>
      <rPr>
        <sz val="10"/>
        <rFont val="Arial"/>
        <family val="0"/>
        <charset val="1"/>
      </rPr>
      <t xml:space="preserve">5/117 = 4.27%</t>
    </r>
    <r>
      <rPr>
        <sz val="10"/>
        <rFont val="Noto Sans CJK SC"/>
        <family val="2"/>
      </rPr>
      <t xml:space="preserve">；与表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</si>
  <si>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</t>
    </r>
  </si>
  <si>
    <r>
      <rPr>
        <sz val="10"/>
        <rFont val="Noto Sans CJK SC"/>
        <family val="2"/>
      </rPr>
      <t xml:space="preserve">正则表达式中的数字（如 </t>
    </r>
    <r>
      <rPr>
        <sz val="10"/>
        <rFont val="Arial"/>
        <family val="0"/>
        <charset val="1"/>
      </rPr>
      <t xml:space="preserve">{0,10}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</si>
  <si>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描述性数字】为模式参数，不是数据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</si>
  <si>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Third portion of the duodenum</t>
    </r>
  </si>
  <si>
    <t xml:space="preserve">3 | 3 | 119 | 1.00 | 3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</si>
  <si>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</si>
  <si>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Duodenojejunal junction</t>
    </r>
  </si>
  <si>
    <t xml:space="preserve">1 | 1 | 119 | 1.00 | 1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</si>
  <si>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</si>
  <si>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Duodenum mentioned in any form</t>
    </r>
  </si>
  <si>
    <t xml:space="preserve">7 | 7 | 119 | 1.00 | 7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</si>
  <si>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</si>
  <si>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Superior mesenteric artery–vein relationship</t>
    </r>
  </si>
  <si>
    <t xml:space="preserve">3 | 3 | 119 | 1.00 | 3 | 108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</si>
  <si>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108/117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</si>
  <si>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Explicit statement of vessel inversion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</si>
  <si>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Enteric fluid administration recorded</t>
    </r>
  </si>
  <si>
    <t xml:space="preserve">3 | 2 | 118 | 0.80 | 2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</si>
  <si>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118/119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0.796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</si>
  <si>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Dynamic (real-time) assessment</t>
    </r>
  </si>
  <si>
    <t xml:space="preserve">3 | 4 | 118 | 0.85 | 4 | 116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</si>
  <si>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118/119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0.853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116/117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</si>
  <si>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Graded compression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</si>
  <si>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Cecal position</t>
    </r>
  </si>
  <si>
    <t xml:space="preserve">5 | 5 | 119 | 1.00 | 5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</si>
  <si>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</si>
  <si>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Color Doppler used</t>
    </r>
  </si>
  <si>
    <t xml:space="preserve">116 | 116 | 119 | 1.00 | 116 | 117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</si>
  <si>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116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116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117/117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</si>
  <si>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Whirlpool, swirl or spiral appearance reported</t>
    </r>
  </si>
  <si>
    <t xml:space="preserve">59 | 58 | 116 | 0.95 | 59 | 114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</si>
  <si>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116/119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0.950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114/117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</si>
  <si>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S2 · Bowel gas explicitly limiting the study</t>
    </r>
  </si>
  <si>
    <t xml:space="preserve">36 | 36 | 119 | 1.00 | 36 | 111</t>
  </si>
  <si>
    <r>
      <rPr>
        <sz val="10"/>
        <rFont val="Noto Sans CJK SC"/>
        <family val="2"/>
      </rPr>
      <t xml:space="preserve">【一致】阅读者甲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、乙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、一致 </t>
    </r>
    <r>
      <rPr>
        <sz val="10"/>
        <rFont val="Arial"/>
        <family val="0"/>
        <charset val="1"/>
      </rPr>
      <t xml:space="preserve">119/119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kappa 1.000</t>
    </r>
    <r>
      <rPr>
        <sz val="10"/>
        <rFont val="Noto Sans CJK SC"/>
        <family val="2"/>
      </rPr>
      <t xml:space="preserve">；模式与共识一致 </t>
    </r>
    <r>
      <rPr>
        <sz val="10"/>
        <rFont val="Arial"/>
        <family val="0"/>
        <charset val="1"/>
      </rPr>
      <t xml:space="preserve">111/117</t>
    </r>
    <r>
      <rPr>
        <sz val="10"/>
        <rFont val="Noto Sans CJK SC"/>
        <family val="2"/>
      </rPr>
      <t xml:space="preserve">（共识数见 </t>
    </r>
    <r>
      <rPr>
        <sz val="10"/>
        <rFont val="Arial"/>
        <family val="0"/>
        <charset val="1"/>
      </rPr>
      <t xml:space="preserve">review_agreement.json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</si>
  <si>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S3 · UGI series</t>
    </r>
  </si>
  <si>
    <t xml:space="preserve">293 | 230 (78.5%) | 63 (21.5%) | 74 | 73 | 83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</si>
  <si>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293</t>
    </r>
    <r>
      <rPr>
        <sz val="10"/>
        <rFont val="Noto Sans CJK SC"/>
        <family val="2"/>
      </rPr>
      <t xml:space="preserve">；阳性 </t>
    </r>
    <r>
      <rPr>
        <sz val="10"/>
        <rFont val="Arial"/>
        <family val="0"/>
        <charset val="1"/>
      </rPr>
      <t xml:space="preserve">230 (78.50%)</t>
    </r>
    <r>
      <rPr>
        <sz val="10"/>
        <rFont val="Noto Sans CJK SC"/>
        <family val="2"/>
      </rPr>
      <t xml:space="preserve">、阴性 </t>
    </r>
    <r>
      <rPr>
        <sz val="10"/>
        <rFont val="Arial"/>
        <family val="0"/>
        <charset val="1"/>
      </rPr>
      <t xml:space="preserve">63 (21.50%)</t>
    </r>
    <r>
      <rPr>
        <sz val="10"/>
        <rFont val="Noto Sans CJK SC"/>
        <family val="2"/>
      </rPr>
      <t xml:space="preserve">；分级（合并检查次）</t>
    </r>
    <r>
      <rPr>
        <sz val="10"/>
        <rFont val="Arial"/>
        <family val="0"/>
        <charset val="1"/>
      </rPr>
      <t xml:space="preserve">74/73/83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</si>
  <si>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S3 · Abdominal CT</t>
    </r>
  </si>
  <si>
    <t xml:space="preserve">313 | 165 (52.7%) | 148 (47.3%) | 30 | 73 | 62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</si>
  <si>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313</t>
    </r>
    <r>
      <rPr>
        <sz val="10"/>
        <rFont val="Noto Sans CJK SC"/>
        <family val="2"/>
      </rPr>
      <t xml:space="preserve">；阳性 </t>
    </r>
    <r>
      <rPr>
        <sz val="10"/>
        <rFont val="Arial"/>
        <family val="0"/>
        <charset val="1"/>
      </rPr>
      <t xml:space="preserve">165 (52.72%)</t>
    </r>
    <r>
      <rPr>
        <sz val="10"/>
        <rFont val="Noto Sans CJK SC"/>
        <family val="2"/>
      </rPr>
      <t xml:space="preserve">、阴性 </t>
    </r>
    <r>
      <rPr>
        <sz val="10"/>
        <rFont val="Arial"/>
        <family val="0"/>
        <charset val="1"/>
      </rPr>
      <t xml:space="preserve">148 (47.28%)</t>
    </r>
    <r>
      <rPr>
        <sz val="10"/>
        <rFont val="Noto Sans CJK SC"/>
        <family val="2"/>
      </rPr>
      <t xml:space="preserve">；分级（合并检查次）</t>
    </r>
    <r>
      <rPr>
        <sz val="10"/>
        <rFont val="Arial"/>
        <family val="0"/>
        <charset val="1"/>
      </rPr>
      <t xml:space="preserve">30/73/62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</si>
  <si>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S3 · Ultrasound</t>
    </r>
  </si>
  <si>
    <t xml:space="preserve">117 | 64 (54.7%) | 53 (45.3%) | 12 | 18 | 34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</si>
  <si>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；阳性 </t>
    </r>
    <r>
      <rPr>
        <sz val="10"/>
        <rFont val="Arial"/>
        <family val="0"/>
        <charset val="1"/>
      </rPr>
      <t xml:space="preserve">64 (54.70%)</t>
    </r>
    <r>
      <rPr>
        <sz val="10"/>
        <rFont val="Noto Sans CJK SC"/>
        <family val="2"/>
      </rPr>
      <t xml:space="preserve">、阴性 </t>
    </r>
    <r>
      <rPr>
        <sz val="10"/>
        <rFont val="Arial"/>
        <family val="0"/>
        <charset val="1"/>
      </rPr>
      <t xml:space="preserve">53 (45.30%)</t>
    </r>
    <r>
      <rPr>
        <sz val="10"/>
        <rFont val="Noto Sans CJK SC"/>
        <family val="2"/>
      </rPr>
      <t xml:space="preserve">；分级（合并检查次）</t>
    </r>
    <r>
      <rPr>
        <sz val="10"/>
        <rFont val="Arial"/>
        <family val="0"/>
        <charset val="1"/>
      </rPr>
      <t xml:space="preserve">12/18/34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</si>
  <si>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S3 · Total</t>
    </r>
  </si>
  <si>
    <t xml:space="preserve">723 | 459 | 264 | 116 | 164 | 179</t>
  </si>
  <si>
    <r>
      <rPr>
        <sz val="10"/>
        <rFont val="Noto Sans CJK SC"/>
        <family val="2"/>
      </rPr>
      <t xml:space="preserve">【一致】合计 </t>
    </r>
    <r>
      <rPr>
        <sz val="10"/>
        <rFont val="Arial"/>
        <family val="0"/>
        <charset val="1"/>
      </rPr>
      <t xml:space="preserve">723 = 293+313+117</t>
    </r>
    <r>
      <rPr>
        <sz val="10"/>
        <rFont val="Noto Sans CJK SC"/>
        <family val="2"/>
      </rPr>
      <t xml:space="preserve">；阳性 </t>
    </r>
    <r>
      <rPr>
        <sz val="10"/>
        <rFont val="Arial"/>
        <family val="0"/>
        <charset val="1"/>
      </rPr>
      <t xml:space="preserve">459 = 230+165+64</t>
    </r>
    <r>
      <rPr>
        <sz val="10"/>
        <rFont val="Noto Sans CJK SC"/>
        <family val="2"/>
      </rPr>
      <t xml:space="preserve">；阴性 </t>
    </r>
    <r>
      <rPr>
        <sz val="10"/>
        <rFont val="Arial"/>
        <family val="0"/>
        <charset val="1"/>
      </rPr>
      <t xml:space="preserve">264</t>
    </r>
    <r>
      <rPr>
        <sz val="10"/>
        <rFont val="Noto Sans CJK SC"/>
        <family val="2"/>
      </rPr>
      <t xml:space="preserve">；分级合计（合并检查次）</t>
    </r>
    <r>
      <rPr>
        <sz val="10"/>
        <rFont val="Arial"/>
        <family val="0"/>
        <charset val="1"/>
      </rPr>
      <t xml:space="preserve">116/164/179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</si>
  <si>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S4 · Abdominal CT vs UGI series</t>
    </r>
  </si>
  <si>
    <t xml:space="preserve">0.31 (0.22–0.43) | 0.29 (0.20–0.41) | &lt;.001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</si>
  <si>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0.306 (0.218–0.430)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0.286 (0.201–0.406)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 0.0000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statsmodels 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</si>
  <si>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S4 · Ultrasound vs UGI series</t>
    </r>
  </si>
  <si>
    <t xml:space="preserve">0.33 (0.21–0.51) | 0.27 (0.17–0.44) | &lt;.001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</si>
  <si>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0.329 (0.214–0.507)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0.274 (0.172–0.437)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 0.0000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statsmodels 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</si>
  <si>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S4 · Operated 2019–2026 vs 2012–2018</t>
    </r>
  </si>
  <si>
    <t xml:space="preserve">– | 1.79 (1.18–2.71) | .006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</si>
  <si>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1.791 (1.185–2.706)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 0.0057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statsmodels 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</si>
  <si>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S4 · Age 29 days–1 year vs neonate</t>
    </r>
  </si>
  <si>
    <t xml:space="preserve">– | 1.08 (0.69–1.71) | .730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</si>
  <si>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1.084 (0.686–1.714)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 0.7296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statsmodels 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</si>
  <si>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S4 · Age &gt;1 year vs neonate</t>
    </r>
  </si>
  <si>
    <t xml:space="preserve">– | 3.52 (1.82–6.80) | &lt;.001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</si>
  <si>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3.522 (1.823–6.803)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 0.0002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statsmodels 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</si>
  <si>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UGI series, n/N (%; 95% CI)</t>
    </r>
  </si>
  <si>
    <t xml:space="preserve">45/59 (76.3; 64.0–85.3) | 39/47 (83.0; 69.9–91.1) | 27/31 (87.1; 71.1–94.9)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</si>
  <si>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45/59 76.3 Wilson 64.03–85.31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39/47 83.0 Wilson 69.86–91.11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27/31 87.1 Wilson 71.15–94.87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</si>
  <si>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Ultrasound, n/N (%; 95% CI)</t>
    </r>
  </si>
  <si>
    <t xml:space="preserve">31/59 (52.5; 40.0–64.7) | 28/47 (59.6; 45.3–72.4) | 20/31 (64.5; 46.9–78.9)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</si>
  <si>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31/59 52.5 Wilson 40.04–64.73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28/47 59.6 Wilson 45.34–72.36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20/31 64.5 Wilson 46.95–78.88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</si>
  <si>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Abdominal CT, n/N (%; 95% CI)</t>
    </r>
  </si>
  <si>
    <t xml:space="preserve">27/59 (45.8; 33.7–58.3) | 23/47 (48.9; 35.3–62.8) | 16/31 (51.6; 34.8–68.0)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</si>
  <si>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27/59 45.8 Wilson 33.70–58.34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23/47 48.9 Wilson 35.28–62.76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16/31 51.6 Wilson 34.84–68.03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</si>
  <si>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Ultrasound whirlpool sign, n/N (%; 95% CI)</t>
    </r>
  </si>
  <si>
    <t xml:space="preserve">超声检出与漩涡征三列完全相同</t>
  </si>
  <si>
    <r>
      <rPr>
        <sz val="10"/>
        <rFont val="Noto Sans CJK SC"/>
        <family val="2"/>
      </rPr>
      <t xml:space="preserve">无需修改（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例中所有阳性均有漩涡征、所有漩涡征均阳性，属实）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</si>
  <si>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Cochran Q, P</t>
    </r>
  </si>
  <si>
    <t xml:space="preserve">&lt;.001 | &lt;.001 | .002</t>
  </si>
  <si>
    <r>
      <rPr>
        <sz val="10"/>
        <rFont val="Noto Sans CJK SC"/>
        <family val="2"/>
      </rPr>
      <t xml:space="preserve">【一致】自算 </t>
    </r>
    <r>
      <rPr>
        <sz val="10"/>
        <rFont val="Arial"/>
        <family val="0"/>
        <charset val="1"/>
      </rPr>
      <t xml:space="preserve">Cochran Q 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0.0007, 0.0006, 0.0020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AMA </t>
    </r>
    <r>
      <rPr>
        <sz val="10"/>
        <rFont val="Noto Sans CJK SC"/>
        <family val="2"/>
      </rPr>
      <t xml:space="preserve">格式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</si>
  <si>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Exact McNemar UGI vs CT: discordant pairs, P</t>
    </r>
  </si>
  <si>
    <t xml:space="preserve">24/6, P = .001 | 20/4, P = .002 | 12/1, P = .003</t>
  </si>
  <si>
    <r>
      <rPr>
        <sz val="10"/>
        <rFont val="Noto Sans CJK SC"/>
        <family val="2"/>
      </rPr>
      <t xml:space="preserve">【一致】自算精确 </t>
    </r>
    <r>
      <rPr>
        <sz val="10"/>
        <rFont val="Arial"/>
        <family val="0"/>
        <charset val="1"/>
      </rPr>
      <t xml:space="preserve">McNemar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24/6 P 0.0014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20/4 P 0.0015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12/1 P 0.0034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</si>
  <si>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Exact McNemar UGI vs US: discordant pairs, P</t>
    </r>
  </si>
  <si>
    <t xml:space="preserve">20/6, P = .009 | 14/3, P = .013 | 8/1, P = .039</t>
  </si>
  <si>
    <r>
      <rPr>
        <sz val="10"/>
        <rFont val="Noto Sans CJK SC"/>
        <family val="2"/>
      </rPr>
      <t xml:space="preserve">【一致】自算精确 </t>
    </r>
    <r>
      <rPr>
        <sz val="10"/>
        <rFont val="Arial"/>
        <family val="0"/>
        <charset val="1"/>
      </rPr>
      <t xml:space="preserve">McNemar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20/6 P 0.0094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14/3 P 0.0127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8/1 P 0.0391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</si>
  <si>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 · Exact McNemar CT vs US: discordant pairs, P</t>
    </r>
  </si>
  <si>
    <t xml:space="preserve">7/11, P = .481 | 4/9, P = .267 | 2/6, P = .289</t>
  </si>
  <si>
    <r>
      <rPr>
        <sz val="10"/>
        <rFont val="Noto Sans CJK SC"/>
        <family val="2"/>
      </rPr>
      <t xml:space="preserve">【一致】自算精确 </t>
    </r>
    <r>
      <rPr>
        <sz val="10"/>
        <rFont val="Arial"/>
        <family val="0"/>
        <charset val="1"/>
      </rPr>
      <t xml:space="preserve">McNemar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7/11 P 0.4807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4/9 P 0.2668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2/6 P 0.2891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</si>
  <si>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series · Midgut volvulus present</t>
    </r>
  </si>
  <si>
    <t xml:space="preserve">208/263 | 79.1 (73.8–83.6)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</si>
  <si>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208/263 = 79.09%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73.77–83.57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</si>
  <si>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series · Midgut volvulus absent</t>
    </r>
  </si>
  <si>
    <t xml:space="preserve">22/30 | 73.3 (55.6–85.8)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</si>
  <si>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22/30 = 73.33%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55.55–85.82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</si>
  <si>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series · Age ≤28 days</t>
    </r>
  </si>
  <si>
    <t xml:space="preserve">162/214 | 75.7 (69.5–81.0)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</si>
  <si>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162/214 = 75.70%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69.53–80.96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</si>
  <si>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series · Age 29 days–1 year</t>
    </r>
  </si>
  <si>
    <t xml:space="preserve">30/38 | 78.9 (63.7–88.9)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</si>
  <si>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30/38 = 78.95%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63.65–88.93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</si>
  <si>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series · Age &gt;1 year</t>
    </r>
  </si>
  <si>
    <t xml:space="preserve">38/41 | 92.7 (80.6–97.5)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</si>
  <si>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38/41 = 92.68%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80.57–97.48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</si>
  <si>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Abdominal CT · Midgut volvulus present</t>
    </r>
  </si>
  <si>
    <t xml:space="preserve">147/279 | 52.7 (46.8–58.5)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</si>
  <si>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147/279 = 52.69%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46.83–58.47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</si>
  <si>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Abdominal CT · Midgut volvulus absent</t>
    </r>
  </si>
  <si>
    <t xml:space="preserve">18/34 | 52.9 (36.7–68.5)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</si>
  <si>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18/34 = 52.94%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36.74–68.55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</si>
  <si>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Abdominal CT · Age ≤28 days</t>
    </r>
  </si>
  <si>
    <t xml:space="preserve">102/220 | 46.4 (39.9–53.0)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</si>
  <si>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102/220 = 46.36%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39.89–52.96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</si>
  <si>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Abdominal CT · Age 29 days–1 year</t>
    </r>
  </si>
  <si>
    <t xml:space="preserve">20/41 | 48.8 (34.3–63.5)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</si>
  <si>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20/41 = 48.78%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34.25–63.52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</si>
  <si>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Abdominal CT · Age &gt;1 year</t>
    </r>
  </si>
  <si>
    <t xml:space="preserve">43/52 | 82.7 (70.3–90.6)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</si>
  <si>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43/52 = 82.69%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70.27–90.62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</si>
  <si>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Ultrasound · Midgut volvulus present</t>
    </r>
  </si>
  <si>
    <t xml:space="preserve">64/112 | 57.1 (47.9–65.9)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</si>
  <si>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64/112 = 57.14%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47.89–65.92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</si>
  <si>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Ultrasound · Midgut volvulus absent</t>
    </r>
  </si>
  <si>
    <t xml:space="preserve">0/5 | 0.0 (0.0–43.4)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</si>
  <si>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0/5 = 0.00%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0.00–43.45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</si>
  <si>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Ultrasound · Age ≤28 days</t>
    </r>
  </si>
  <si>
    <t xml:space="preserve">50/90 | 55.6 (45.3–65.4)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</si>
  <si>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50/90 = 55.56%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45.27–65.38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</si>
  <si>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Ultrasound · Age 29 days–1 year</t>
    </r>
  </si>
  <si>
    <t xml:space="preserve">7/14 | 50.0 (26.8–73.2)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</si>
  <si>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7/14 = 50.00%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26.80–73.20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</si>
  <si>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Ultrasound · Age &gt;1 year</t>
    </r>
  </si>
  <si>
    <t xml:space="preserve">7/13 | 53.8 (29.1–76.8)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</si>
  <si>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7/13 = 53.85%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29.14–76.79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</si>
  <si>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UGI </t>
    </r>
    <r>
      <rPr>
        <sz val="10"/>
        <rFont val="Noto Sans CJK SC"/>
        <family val="2"/>
      </rPr>
      <t xml:space="preserve">分层合计</t>
    </r>
  </si>
  <si>
    <t xml:space="preserve">各层分子分母</t>
  </si>
  <si>
    <r>
      <rPr>
        <sz val="10"/>
        <rFont val="Noto Sans CJK SC"/>
        <family val="2"/>
      </rPr>
      <t xml:space="preserve">【一致】扭转层 </t>
    </r>
    <r>
      <rPr>
        <sz val="10"/>
        <rFont val="Arial"/>
        <family val="0"/>
        <charset val="1"/>
      </rPr>
      <t xml:space="preserve">208+22 = 230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263+30 = 293</t>
    </r>
    <r>
      <rPr>
        <sz val="10"/>
        <rFont val="Noto Sans CJK SC"/>
        <family val="2"/>
      </rPr>
      <t xml:space="preserve">；年龄层 </t>
    </r>
    <r>
      <rPr>
        <sz val="10"/>
        <rFont val="Arial"/>
        <family val="0"/>
        <charset val="1"/>
      </rPr>
      <t xml:space="preserve">230/293</t>
    </r>
    <r>
      <rPr>
        <sz val="10"/>
        <rFont val="Noto Sans CJK SC"/>
        <family val="2"/>
      </rPr>
      <t xml:space="preserve">；均等于 </t>
    </r>
    <r>
      <rPr>
        <sz val="10"/>
        <rFont val="Arial"/>
        <family val="0"/>
        <charset val="1"/>
      </rPr>
      <t xml:space="preserve">230/293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</si>
  <si>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CT </t>
    </r>
    <r>
      <rPr>
        <sz val="10"/>
        <rFont val="Noto Sans CJK SC"/>
        <family val="2"/>
      </rPr>
      <t xml:space="preserve">分层合计</t>
    </r>
  </si>
  <si>
    <r>
      <rPr>
        <sz val="10"/>
        <rFont val="Noto Sans CJK SC"/>
        <family val="2"/>
      </rPr>
      <t xml:space="preserve">【一致】扭转层 </t>
    </r>
    <r>
      <rPr>
        <sz val="10"/>
        <rFont val="Arial"/>
        <family val="0"/>
        <charset val="1"/>
      </rPr>
      <t xml:space="preserve">147+18 = 165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279+34 = 313</t>
    </r>
    <r>
      <rPr>
        <sz val="10"/>
        <rFont val="Noto Sans CJK SC"/>
        <family val="2"/>
      </rPr>
      <t xml:space="preserve">；年龄层 </t>
    </r>
    <r>
      <rPr>
        <sz val="10"/>
        <rFont val="Arial"/>
        <family val="0"/>
        <charset val="1"/>
      </rPr>
      <t xml:space="preserve">165/313</t>
    </r>
    <r>
      <rPr>
        <sz val="10"/>
        <rFont val="Noto Sans CJK SC"/>
        <family val="2"/>
      </rPr>
      <t xml:space="preserve">；均等于 </t>
    </r>
    <r>
      <rPr>
        <sz val="10"/>
        <rFont val="Arial"/>
        <family val="0"/>
        <charset val="1"/>
      </rPr>
      <t xml:space="preserve">165/313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</si>
  <si>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S6 · US </t>
    </r>
    <r>
      <rPr>
        <sz val="10"/>
        <rFont val="Noto Sans CJK SC"/>
        <family val="2"/>
      </rPr>
      <t xml:space="preserve">分层合计</t>
    </r>
  </si>
  <si>
    <r>
      <rPr>
        <sz val="10"/>
        <rFont val="Noto Sans CJK SC"/>
        <family val="2"/>
      </rPr>
      <t xml:space="preserve">【一致】扭转层 </t>
    </r>
    <r>
      <rPr>
        <sz val="10"/>
        <rFont val="Arial"/>
        <family val="0"/>
        <charset val="1"/>
      </rPr>
      <t xml:space="preserve">64+0 = 64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112+5 = 117</t>
    </r>
    <r>
      <rPr>
        <sz val="10"/>
        <rFont val="Noto Sans CJK SC"/>
        <family val="2"/>
      </rPr>
      <t xml:space="preserve">；年龄层 </t>
    </r>
    <r>
      <rPr>
        <sz val="10"/>
        <rFont val="Arial"/>
        <family val="0"/>
        <charset val="1"/>
      </rPr>
      <t xml:space="preserve">64/117</t>
    </r>
    <r>
      <rPr>
        <sz val="10"/>
        <rFont val="Noto Sans CJK SC"/>
        <family val="2"/>
      </rPr>
      <t xml:space="preserve">；均等于 </t>
    </r>
    <r>
      <rPr>
        <sz val="10"/>
        <rFont val="Arial"/>
        <family val="0"/>
        <charset val="1"/>
      </rPr>
      <t xml:space="preserve">64/117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</si>
  <si>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S7 · UGI series</t>
    </r>
  </si>
  <si>
    <t xml:space="preserve">128/263 | 48.7 (42.7–54.7)</t>
  </si>
  <si>
    <r>
      <rPr>
        <sz val="10"/>
        <rFont val="Noto Sans CJK SC"/>
        <family val="2"/>
      </rPr>
      <t xml:space="preserve">【一致】分母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该检查中扭转患儿 </t>
    </r>
    <r>
      <rPr>
        <sz val="10"/>
        <rFont val="Arial"/>
        <family val="0"/>
        <charset val="1"/>
      </rPr>
      <t xml:space="preserve">263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128/263 = 48.67%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42.69–54.69</t>
    </r>
    <r>
      <rPr>
        <sz val="10"/>
        <rFont val="Noto Sans CJK SC"/>
        <family val="2"/>
      </rPr>
      <t xml:space="preserve">；分子为文本模式编码（原程序复算）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</si>
  <si>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S7 · Ultrasound</t>
    </r>
  </si>
  <si>
    <t xml:space="preserve">59/112 | 52.7 (43.5–61.7)</t>
  </si>
  <si>
    <r>
      <rPr>
        <sz val="10"/>
        <rFont val="Noto Sans CJK SC"/>
        <family val="2"/>
      </rPr>
      <t xml:space="preserve">【一致】分母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该检查中扭转患儿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59/112 = 52.68%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43.50–61.68</t>
    </r>
    <r>
      <rPr>
        <sz val="10"/>
        <rFont val="Noto Sans CJK SC"/>
        <family val="2"/>
      </rPr>
      <t xml:space="preserve">；超声分子为两位阅读者共识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</si>
  <si>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S7 · Abdominal CT</t>
    </r>
  </si>
  <si>
    <t xml:space="preserve">103/279 | 36.9 (31.5–42.7)</t>
  </si>
  <si>
    <r>
      <rPr>
        <sz val="10"/>
        <rFont val="Noto Sans CJK SC"/>
        <family val="2"/>
      </rPr>
      <t xml:space="preserve">【一致】分母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该检查中扭转患儿 </t>
    </r>
    <r>
      <rPr>
        <sz val="10"/>
        <rFont val="Arial"/>
        <family val="0"/>
        <charset val="1"/>
      </rPr>
      <t xml:space="preserve">279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103/279 = 36.92%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Wilson 31.47–42.72</t>
    </r>
    <r>
      <rPr>
        <sz val="10"/>
        <rFont val="Noto Sans CJK SC"/>
        <family val="2"/>
      </rPr>
      <t xml:space="preserve">；分子为文本模式编码（原程序复算）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</si>
  <si>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Contrast enhancement</t>
    </r>
  </si>
  <si>
    <t xml:space="preserve">50 (16.0) | 40/50 (80%) | 125/263 (48%)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</si>
  <si>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50/313 = 15.97%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50+263 = 313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40+125 = 165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</si>
  <si>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Mesenteric whirl</t>
    </r>
  </si>
  <si>
    <t xml:space="preserve">115 (36.7) | 113/115 (98%) | 52/198 (26%)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</si>
  <si>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115/313 = 36.74%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115+198 = 313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113+52 = 165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</si>
  <si>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Duodenum mentioned</t>
    </r>
  </si>
  <si>
    <t xml:space="preserve">73 (23.3) | 43/73 (59%) | 122/240 (51%)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</si>
  <si>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73/313 = 23.32%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73+240 = 313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43+122 = 165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</si>
  <si>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Mesenteric-vessel relationship</t>
    </r>
  </si>
  <si>
    <t xml:space="preserve">42 (13.4) | 33/42 (79%) | 132/271 (49%)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</si>
  <si>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42/313 = 13.42%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42+271 = 313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33+132 = 165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</si>
  <si>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Three-dimensional reconstruction</t>
    </r>
  </si>
  <si>
    <t xml:space="preserve">119 (38.0) | 76/119 (64%) | 89/194 (46%)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</si>
  <si>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119/313 = 38.02%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119+194 = 313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76+89 = 165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</si>
  <si>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Duodenojejunal junction</t>
    </r>
  </si>
  <si>
    <t xml:space="preserve">152 (51.9) | 151/152 (99%) | 79/141 (56%)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</si>
  <si>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152/293 = 51.88%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152+141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151+79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</si>
  <si>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Corkscrew / spring appearance</t>
    </r>
  </si>
  <si>
    <t xml:space="preserve">139 (47.4) | 139/139 (100%) | 91/154 (59%)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</si>
  <si>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139/293 = 47.44%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139+154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139+91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</si>
  <si>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Jejunal position</t>
    </r>
  </si>
  <si>
    <t xml:space="preserve">206 (70.3) | 193/206 (94%) | 37/87 (43%)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</si>
  <si>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206/293 = 70.31%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206+87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193+37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</si>
  <si>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Cecal position</t>
    </r>
  </si>
  <si>
    <t xml:space="preserve">196 (66.9) | 176/196 (90%) | 54/97 (56%)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</si>
  <si>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196/293 = 66.89%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196+97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176+54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</si>
  <si>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Whole-gastrointestinal study</t>
    </r>
  </si>
  <si>
    <t xml:space="preserve">278 (94.9) | 217/278 (78%) | 13/15 (87%)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</si>
  <si>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278/293 = 94.88%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278+15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217+13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</si>
  <si>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S18 · Barium used</t>
    </r>
  </si>
  <si>
    <t xml:space="preserve">17 (5.8) | 16/17 (94%) | 214/276 (78%)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</si>
  <si>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17/293 = 5.80%</t>
    </r>
    <r>
      <rPr>
        <sz val="10"/>
        <rFont val="Noto Sans CJK SC"/>
        <family val="2"/>
      </rPr>
      <t xml:space="preserve">；分母 </t>
    </r>
    <r>
      <rPr>
        <sz val="10"/>
        <rFont val="Arial"/>
        <family val="0"/>
        <charset val="1"/>
      </rPr>
      <t xml:space="preserve">17+276 = 293</t>
    </r>
    <r>
      <rPr>
        <sz val="10"/>
        <rFont val="Noto Sans CJK SC"/>
        <family val="2"/>
      </rPr>
      <t xml:space="preserve">；检出 </t>
    </r>
    <r>
      <rPr>
        <sz val="10"/>
        <rFont val="Arial"/>
        <family val="0"/>
        <charset val="1"/>
      </rPr>
      <t xml:space="preserve">16+214 = 230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</si>
  <si>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S8 · </t>
    </r>
    <r>
      <rPr>
        <sz val="10"/>
        <rFont val="Noto Sans CJK SC"/>
        <family val="2"/>
      </rPr>
      <t xml:space="preserve">边界 </t>
    </r>
    <r>
      <rPr>
        <sz val="10"/>
        <rFont val="Arial"/>
        <family val="0"/>
        <charset val="1"/>
      </rPr>
      <t xml:space="preserve">2019</t>
    </r>
  </si>
  <si>
    <t xml:space="preserve">38 / 79 | 16/38 (42.1%) / 48/79 (60.8%) | 2.13 (0.97–4.67), P = .060 | 1.45 (0.62–3.40), P = .397 | 3.51 (1.56–7.87), P = .002 | +18.7 → +8.4 pp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</si>
  <si>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38/79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16/48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2.129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1.447</t>
    </r>
    <r>
      <rPr>
        <sz val="10"/>
        <rFont val="Noto Sans CJK SC"/>
        <family val="2"/>
      </rPr>
      <t xml:space="preserve">；检查类型 </t>
    </r>
    <r>
      <rPr>
        <sz val="10"/>
        <rFont val="Arial"/>
        <family val="0"/>
        <charset val="1"/>
      </rPr>
      <t xml:space="preserve">3.507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+18.65 → +8.35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</si>
  <si>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S8 · </t>
    </r>
    <r>
      <rPr>
        <sz val="10"/>
        <rFont val="Noto Sans CJK SC"/>
        <family val="2"/>
      </rPr>
      <t xml:space="preserve">边界 </t>
    </r>
    <r>
      <rPr>
        <sz val="10"/>
        <rFont val="Arial"/>
        <family val="0"/>
        <charset val="1"/>
      </rPr>
      <t xml:space="preserve">2020</t>
    </r>
  </si>
  <si>
    <t xml:space="preserve">43 / 74 | 17/43 (39.5%) / 47/74 (63.5%) | 2.66 (1.23–5.77), P = .013 | 1.77 (0.76–4.13), P = .183 | 3.21 (1.41–7.30), P = .005 | +24.0 → +13.1 pp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</si>
  <si>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43/74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17/47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2.662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1.775</t>
    </r>
    <r>
      <rPr>
        <sz val="10"/>
        <rFont val="Noto Sans CJK SC"/>
        <family val="2"/>
      </rPr>
      <t xml:space="preserve">；检查类型 </t>
    </r>
    <r>
      <rPr>
        <sz val="10"/>
        <rFont val="Arial"/>
        <family val="0"/>
        <charset val="1"/>
      </rPr>
      <t xml:space="preserve">3.211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+23.98 → +13.09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</si>
  <si>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S8 · </t>
    </r>
    <r>
      <rPr>
        <sz val="10"/>
        <rFont val="Noto Sans CJK SC"/>
        <family val="2"/>
      </rPr>
      <t xml:space="preserve">边界 </t>
    </r>
    <r>
      <rPr>
        <sz val="10"/>
        <rFont val="Arial"/>
        <family val="0"/>
        <charset val="1"/>
      </rPr>
      <t xml:space="preserve">2021</t>
    </r>
  </si>
  <si>
    <t xml:space="preserve">61 / 56 | 29/61 (47.5%) / 35/56 (62.5%) | 1.84 (0.88–3.85), P = .106 | 1.22 (0.54–2.75), P = .638 | 3.65 (1.61–8.27), P = .002 | +15.0 → +4.4 pp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</si>
  <si>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61/56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29/35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1.839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1.216</t>
    </r>
    <r>
      <rPr>
        <sz val="10"/>
        <rFont val="Noto Sans CJK SC"/>
        <family val="2"/>
      </rPr>
      <t xml:space="preserve">；检查类型 </t>
    </r>
    <r>
      <rPr>
        <sz val="10"/>
        <rFont val="Arial"/>
        <family val="0"/>
        <charset val="1"/>
      </rPr>
      <t xml:space="preserve">3.649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+14.96 → +4.38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</si>
  <si>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S8 · </t>
    </r>
    <r>
      <rPr>
        <sz val="10"/>
        <rFont val="Noto Sans CJK SC"/>
        <family val="2"/>
      </rPr>
      <t xml:space="preserve">边界 </t>
    </r>
    <r>
      <rPr>
        <sz val="10"/>
        <rFont val="Arial"/>
        <family val="0"/>
        <charset val="1"/>
      </rPr>
      <t xml:space="preserve">2022</t>
    </r>
  </si>
  <si>
    <t xml:space="preserve">75 / 42 | 40/75 (53.3%) / 24/42 (57.1%) | 1.17 (0.55–2.50), P = .691 | 0.85 (0.37–1.94), P = .700 | 4.04 (1.82–8.97), P &lt; .001 | +3.8 → −3.6 pp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</si>
  <si>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75/42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40/24</t>
    </r>
    <r>
      <rPr>
        <sz val="10"/>
        <rFont val="Noto Sans CJK SC"/>
        <family val="2"/>
      </rPr>
      <t xml:space="preserve">；粗 </t>
    </r>
    <r>
      <rPr>
        <sz val="10"/>
        <rFont val="Arial"/>
        <family val="0"/>
        <charset val="1"/>
      </rPr>
      <t xml:space="preserve">OR 1.167</t>
    </r>
    <r>
      <rPr>
        <sz val="10"/>
        <rFont val="Noto Sans CJK SC"/>
        <family val="2"/>
      </rPr>
      <t xml:space="preserve">；调整 </t>
    </r>
    <r>
      <rPr>
        <sz val="10"/>
        <rFont val="Arial"/>
        <family val="0"/>
        <charset val="1"/>
      </rPr>
      <t xml:space="preserve">0.850</t>
    </r>
    <r>
      <rPr>
        <sz val="10"/>
        <rFont val="Noto Sans CJK SC"/>
        <family val="2"/>
      </rPr>
      <t xml:space="preserve">；检查类型 </t>
    </r>
    <r>
      <rPr>
        <sz val="10"/>
        <rFont val="Arial"/>
        <family val="0"/>
        <charset val="1"/>
      </rPr>
      <t xml:space="preserve">4.035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AME +3.81 → -3.58</t>
    </r>
    <r>
      <rPr>
        <sz val="10"/>
        <rFont val="Noto Sans CJK SC"/>
        <family val="2"/>
      </rPr>
      <t xml:space="preserve">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</si>
  <si>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S9 · D3 or duodenojejunal junction</t>
    </r>
  </si>
  <si>
    <t xml:space="preserve">3/117 (2.6%) | 3/117 (2.6%)</t>
  </si>
  <si>
    <r>
      <rPr>
        <sz val="10"/>
        <rFont val="Noto Sans CJK SC"/>
        <family val="2"/>
      </rPr>
      <t xml:space="preserve">【一致】最近检查次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3/117</t>
    </r>
    <r>
      <rPr>
        <sz val="10"/>
        <rFont val="Noto Sans CJK SC"/>
        <family val="2"/>
      </rPr>
      <t xml:space="preserve">；最早检查次由 </t>
    </r>
    <r>
      <rPr>
        <sz val="10"/>
        <rFont val="Arial"/>
        <family val="0"/>
        <charset val="1"/>
      </rPr>
      <t xml:space="preserve">106 </t>
    </r>
    <r>
      <rPr>
        <sz val="10"/>
        <rFont val="Noto Sans CJK SC"/>
        <family val="2"/>
      </rPr>
      <t xml:space="preserve">例共识编码 </t>
    </r>
    <r>
      <rPr>
        <sz val="10"/>
        <rFont val="Arial"/>
        <family val="0"/>
        <charset val="1"/>
      </rPr>
      <t xml:space="preserve">+ 11 </t>
    </r>
    <r>
      <rPr>
        <sz val="10"/>
        <rFont val="Noto Sans CJK SC"/>
        <family val="2"/>
      </rPr>
      <t xml:space="preserve">例文本核查得出（原程序 </t>
    </r>
    <r>
      <rPr>
        <sz val="10"/>
        <rFont val="Arial"/>
        <family val="0"/>
        <charset val="1"/>
      </rPr>
      <t xml:space="preserve">or_sens.py</t>
    </r>
    <r>
      <rPr>
        <sz val="10"/>
        <rFont val="Noto Sans CJK SC"/>
        <family val="2"/>
      </rPr>
      <t xml:space="preserve">），百分比复算无误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</si>
  <si>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S9 · Superior mesenteric artery–vein relationship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</si>
  <si>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S9 · Enteric fluid administration</t>
    </r>
  </si>
  <si>
    <t xml:space="preserve">2/117 (1.7%) | 1/117 (0.9%)</t>
  </si>
  <si>
    <r>
      <rPr>
        <sz val="10"/>
        <rFont val="Noto Sans CJK SC"/>
        <family val="2"/>
      </rPr>
      <t xml:space="preserve">【一致】最近检查次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2/117</t>
    </r>
    <r>
      <rPr>
        <sz val="10"/>
        <rFont val="Noto Sans CJK SC"/>
        <family val="2"/>
      </rPr>
      <t xml:space="preserve">；最早检查次由 </t>
    </r>
    <r>
      <rPr>
        <sz val="10"/>
        <rFont val="Arial"/>
        <family val="0"/>
        <charset val="1"/>
      </rPr>
      <t xml:space="preserve">106 </t>
    </r>
    <r>
      <rPr>
        <sz val="10"/>
        <rFont val="Noto Sans CJK SC"/>
        <family val="2"/>
      </rPr>
      <t xml:space="preserve">例共识编码 </t>
    </r>
    <r>
      <rPr>
        <sz val="10"/>
        <rFont val="Arial"/>
        <family val="0"/>
        <charset val="1"/>
      </rPr>
      <t xml:space="preserve">+ 11 </t>
    </r>
    <r>
      <rPr>
        <sz val="10"/>
        <rFont val="Noto Sans CJK SC"/>
        <family val="2"/>
      </rPr>
      <t xml:space="preserve">例文本核查得出（原程序 </t>
    </r>
    <r>
      <rPr>
        <sz val="10"/>
        <rFont val="Arial"/>
        <family val="0"/>
        <charset val="1"/>
      </rPr>
      <t xml:space="preserve">or_sens.py</t>
    </r>
    <r>
      <rPr>
        <sz val="10"/>
        <rFont val="Noto Sans CJK SC"/>
        <family val="2"/>
      </rPr>
      <t xml:space="preserve">），百分比复算无误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</si>
  <si>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S9 · Whirlpool, swirl or spiral appearance reported</t>
    </r>
  </si>
  <si>
    <t xml:space="preserve">59/117 (50.4%) | 57/117 (48.7%)</t>
  </si>
  <si>
    <r>
      <rPr>
        <sz val="10"/>
        <rFont val="Noto Sans CJK SC"/>
        <family val="2"/>
      </rPr>
      <t xml:space="preserve">【一致】最近检查次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59/117</t>
    </r>
    <r>
      <rPr>
        <sz val="10"/>
        <rFont val="Noto Sans CJK SC"/>
        <family val="2"/>
      </rPr>
      <t xml:space="preserve">；最早检查次由 </t>
    </r>
    <r>
      <rPr>
        <sz val="10"/>
        <rFont val="Arial"/>
        <family val="0"/>
        <charset val="1"/>
      </rPr>
      <t xml:space="preserve">106 </t>
    </r>
    <r>
      <rPr>
        <sz val="10"/>
        <rFont val="Noto Sans CJK SC"/>
        <family val="2"/>
      </rPr>
      <t xml:space="preserve">例共识编码 </t>
    </r>
    <r>
      <rPr>
        <sz val="10"/>
        <rFont val="Arial"/>
        <family val="0"/>
        <charset val="1"/>
      </rPr>
      <t xml:space="preserve">+ 11 </t>
    </r>
    <r>
      <rPr>
        <sz val="10"/>
        <rFont val="Noto Sans CJK SC"/>
        <family val="2"/>
      </rPr>
      <t xml:space="preserve">例文本核查得出（原程序 </t>
    </r>
    <r>
      <rPr>
        <sz val="10"/>
        <rFont val="Arial"/>
        <family val="0"/>
        <charset val="1"/>
      </rPr>
      <t xml:space="preserve">or_sens.py</t>
    </r>
    <r>
      <rPr>
        <sz val="10"/>
        <rFont val="Noto Sans CJK SC"/>
        <family val="2"/>
      </rPr>
      <t xml:space="preserve">），百分比复算无误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</si>
  <si>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S10 · Explicit operative statement of torsion,</t>
    </r>
  </si>
  <si>
    <t xml:space="preserve">397/450 (88.2%) | 112/117 (95.7%) | 59/112 (52.7%)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</si>
  <si>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397/450 = 88.22%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112/117 = 95.73%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59/112 = 52.68%</t>
    </r>
    <r>
      <rPr>
        <sz val="10"/>
        <rFont val="Noto Sans CJK SC"/>
        <family val="2"/>
      </rPr>
      <t xml:space="preserve">（漩涡征分母为该定义下做超声的扭转患儿）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</si>
  <si>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S10 · Excluding children whose record states a</t>
    </r>
  </si>
  <si>
    <t xml:space="preserve">378/450 (84.0%) | 103/117 (88.0%) | 56/103 (54.4%)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</si>
  <si>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378/450 = 84.00%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103/117 = 88.03%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56/103 = 54.37%</t>
    </r>
    <r>
      <rPr>
        <sz val="10"/>
        <rFont val="Noto Sans CJK SC"/>
        <family val="2"/>
      </rPr>
      <t xml:space="preserve">（漩涡征分母为该定义下做超声的扭转患儿）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</si>
  <si>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S10 · Requiring a documented rotation of 360° </t>
    </r>
  </si>
  <si>
    <t xml:space="preserve">303/450 (67.3%) | 88/117 (75.2%) | 52/88 (59.1%)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</si>
  <si>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303/450 = 67.33%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88/117 = 75.21%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52/88 = 59.09%</t>
    </r>
    <r>
      <rPr>
        <sz val="10"/>
        <rFont val="Noto Sans CJK SC"/>
        <family val="2"/>
      </rPr>
      <t xml:space="preserve">（漩涡征分母为该定义下做超声的扭转患儿）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</si>
  <si>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S11 · Ultrasound, crude</t>
    </r>
  </si>
  <si>
    <t xml:space="preserve">+18.7 (−0.2 to +37.7)</t>
  </si>
  <si>
    <r>
      <rPr>
        <sz val="10"/>
        <rFont val="Noto Sans CJK SC"/>
        <family val="2"/>
      </rPr>
      <t xml:space="preserve">【一致】点估计（自写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+18.65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-0.22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+37.71</t>
    </r>
    <r>
      <rPr>
        <sz val="10"/>
        <rFont val="Noto Sans CJK SC"/>
        <family val="2"/>
      </rPr>
      <t xml:space="preserve">（原程序，种子固定，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次有效重抽样）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</si>
  <si>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S11 · Ultrasound, adjusted for great-vessel session</t>
    </r>
  </si>
  <si>
    <t xml:space="preserve">+8.4 (−10.6 to +29.2)</t>
  </si>
  <si>
    <r>
      <rPr>
        <sz val="10"/>
        <rFont val="Noto Sans CJK SC"/>
        <family val="2"/>
      </rPr>
      <t xml:space="preserve">【一致】点估计（自写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+8.35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-10.61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+29.16</t>
    </r>
    <r>
      <rPr>
        <sz val="10"/>
        <rFont val="Noto Sans CJK SC"/>
        <family val="2"/>
      </rPr>
      <t xml:space="preserve">（原程序，种子固定，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次有效重抽样）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</si>
  <si>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S11 · CT, crude</t>
    </r>
  </si>
  <si>
    <t xml:space="preserve">+19.8 (+8.3 to +31.0)</t>
  </si>
  <si>
    <r>
      <rPr>
        <sz val="10"/>
        <rFont val="Noto Sans CJK SC"/>
        <family val="2"/>
      </rPr>
      <t xml:space="preserve">【一致】点估计（自写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+19.81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+8.29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+30.99</t>
    </r>
    <r>
      <rPr>
        <sz val="10"/>
        <rFont val="Noto Sans CJK SC"/>
        <family val="2"/>
      </rPr>
      <t xml:space="preserve">（原程序，种子固定，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次有效重抽样）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</si>
  <si>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S11 · CT, adjusted for contrast enhancement</t>
    </r>
  </si>
  <si>
    <t xml:space="preserve">+16.4 (+4.3 to +27.3)</t>
  </si>
  <si>
    <r>
      <rPr>
        <sz val="10"/>
        <rFont val="Noto Sans CJK SC"/>
        <family val="2"/>
      </rPr>
      <t xml:space="preserve">【一致】点估计（自写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+16.38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+4.34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+27.34</t>
    </r>
    <r>
      <rPr>
        <sz val="10"/>
        <rFont val="Noto Sans CJK SC"/>
        <family val="2"/>
      </rPr>
      <t xml:space="preserve">（原程序，种子固定，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次有效重抽样）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</si>
  <si>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S11 · UGI series, crude</t>
    </r>
  </si>
  <si>
    <t xml:space="preserve">+5.1 (−4.7 to +15.0)</t>
  </si>
  <si>
    <r>
      <rPr>
        <sz val="10"/>
        <rFont val="Noto Sans CJK SC"/>
        <family val="2"/>
      </rPr>
      <t xml:space="preserve">【一致】点估计（自写 </t>
    </r>
    <r>
      <rPr>
        <sz val="10"/>
        <rFont val="Arial"/>
        <family val="0"/>
        <charset val="1"/>
      </rPr>
      <t xml:space="preserve">IRLS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+5.06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bootstrap -4.74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+15.03</t>
    </r>
    <r>
      <rPr>
        <sz val="10"/>
        <rFont val="Noto Sans CJK SC"/>
        <family val="2"/>
      </rPr>
      <t xml:space="preserve">（原程序，种子固定，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次有效重抽样）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</si>
  <si>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S12 · UGI series vs CT</t>
    </r>
  </si>
  <si>
    <t xml:space="preserve">76.3% vs 45.8% | +30.5 (+13.6 to +47.5) | 24/6 | .001</t>
  </si>
  <si>
    <r>
      <rPr>
        <sz val="10"/>
        <rFont val="Noto Sans CJK SC"/>
        <family val="2"/>
      </rPr>
      <t xml:space="preserve">【一致】差值 </t>
    </r>
    <r>
      <rPr>
        <sz val="10"/>
        <rFont val="Arial"/>
        <family val="0"/>
        <charset val="1"/>
      </rPr>
      <t xml:space="preserve">+30.51</t>
    </r>
    <r>
      <rPr>
        <sz val="10"/>
        <rFont val="Noto Sans CJK SC"/>
        <family val="2"/>
      </rPr>
      <t xml:space="preserve">；不一致对 </t>
    </r>
    <r>
      <rPr>
        <sz val="10"/>
        <rFont val="Arial"/>
        <family val="0"/>
        <charset val="1"/>
      </rPr>
      <t xml:space="preserve">24/6</t>
    </r>
    <r>
      <rPr>
        <sz val="10"/>
        <rFont val="Noto Sans CJK SC"/>
        <family val="2"/>
      </rPr>
      <t xml:space="preserve">；精确 </t>
    </r>
    <r>
      <rPr>
        <sz val="10"/>
        <rFont val="Arial"/>
        <family val="0"/>
        <charset val="1"/>
      </rPr>
      <t xml:space="preserve">McNemar P 0.0014</t>
    </r>
    <r>
      <rPr>
        <sz val="10"/>
        <rFont val="Noto Sans CJK SC"/>
        <family val="2"/>
      </rPr>
      <t xml:space="preserve">；区间为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（原程序）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</si>
  <si>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S12 · UGI series vs ultrasound</t>
    </r>
  </si>
  <si>
    <t xml:space="preserve">76.3% vs 52.5% | +23.7 (+8.5 to +39.0) | 20/6 | .009</t>
  </si>
  <si>
    <r>
      <rPr>
        <sz val="10"/>
        <rFont val="Noto Sans CJK SC"/>
        <family val="2"/>
      </rPr>
      <t xml:space="preserve">【一致】差值 </t>
    </r>
    <r>
      <rPr>
        <sz val="10"/>
        <rFont val="Arial"/>
        <family val="0"/>
        <charset val="1"/>
      </rPr>
      <t xml:space="preserve">+23.73</t>
    </r>
    <r>
      <rPr>
        <sz val="10"/>
        <rFont val="Noto Sans CJK SC"/>
        <family val="2"/>
      </rPr>
      <t xml:space="preserve">；不一致对 </t>
    </r>
    <r>
      <rPr>
        <sz val="10"/>
        <rFont val="Arial"/>
        <family val="0"/>
        <charset val="1"/>
      </rPr>
      <t xml:space="preserve">20/6</t>
    </r>
    <r>
      <rPr>
        <sz val="10"/>
        <rFont val="Noto Sans CJK SC"/>
        <family val="2"/>
      </rPr>
      <t xml:space="preserve">；精确 </t>
    </r>
    <r>
      <rPr>
        <sz val="10"/>
        <rFont val="Arial"/>
        <family val="0"/>
        <charset val="1"/>
      </rPr>
      <t xml:space="preserve">McNemar P 0.0094</t>
    </r>
    <r>
      <rPr>
        <sz val="10"/>
        <rFont val="Noto Sans CJK SC"/>
        <family val="2"/>
      </rPr>
      <t xml:space="preserve">；区间为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（原程序）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</si>
  <si>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S12 · CT vs ultrasound</t>
    </r>
  </si>
  <si>
    <t xml:space="preserve">45.8% vs 52.5% | −6.8 (−20.3 to +8.5) | 7/11 | .481</t>
  </si>
  <si>
    <r>
      <rPr>
        <sz val="10"/>
        <rFont val="Noto Sans CJK SC"/>
        <family val="2"/>
      </rPr>
      <t xml:space="preserve">【一致】差值 </t>
    </r>
    <r>
      <rPr>
        <sz val="10"/>
        <rFont val="Arial"/>
        <family val="0"/>
        <charset val="1"/>
      </rPr>
      <t xml:space="preserve">-6.78</t>
    </r>
    <r>
      <rPr>
        <sz val="10"/>
        <rFont val="Noto Sans CJK SC"/>
        <family val="2"/>
      </rPr>
      <t xml:space="preserve">；不一致对 </t>
    </r>
    <r>
      <rPr>
        <sz val="10"/>
        <rFont val="Arial"/>
        <family val="0"/>
        <charset val="1"/>
      </rPr>
      <t xml:space="preserve">7/11</t>
    </r>
    <r>
      <rPr>
        <sz val="10"/>
        <rFont val="Noto Sans CJK SC"/>
        <family val="2"/>
      </rPr>
      <t xml:space="preserve">；精确 </t>
    </r>
    <r>
      <rPr>
        <sz val="10"/>
        <rFont val="Arial"/>
        <family val="0"/>
        <charset val="1"/>
      </rPr>
      <t xml:space="preserve">McNemar P 0.4807</t>
    </r>
    <r>
      <rPr>
        <sz val="10"/>
        <rFont val="Noto Sans CJK SC"/>
        <family val="2"/>
      </rPr>
      <t xml:space="preserve">；区间为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（原程序）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</si>
  <si>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S13 · UGI vs CT × </t>
    </r>
    <r>
      <rPr>
        <sz val="10"/>
        <rFont val="Noto Sans CJK SC"/>
        <family val="2"/>
      </rPr>
      <t xml:space="preserve">扭转</t>
    </r>
  </si>
  <si>
    <t xml:space="preserve">CT x volvulus odds ratio 0.92 (0.32–2.66) | .873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</si>
  <si>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OR 0.917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0.873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重拟合）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</si>
  <si>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S13 · </t>
    </r>
    <r>
      <rPr>
        <sz val="10"/>
        <rFont val="Noto Sans CJK SC"/>
        <family val="2"/>
      </rPr>
      <t xml:space="preserve">含超声的交互</t>
    </r>
  </si>
  <si>
    <t xml:space="preserve">Not estimable (complete separation) | –</t>
  </si>
  <si>
    <r>
      <rPr>
        <sz val="10"/>
        <rFont val="Noto Sans CJK SC"/>
        <family val="2"/>
      </rPr>
      <t xml:space="preserve">【一致】超声无扭转 </t>
    </r>
    <r>
      <rPr>
        <sz val="10"/>
        <rFont val="Arial"/>
        <family val="0"/>
        <charset val="1"/>
      </rPr>
      <t xml:space="preserve">0/5</t>
    </r>
    <r>
      <rPr>
        <sz val="10"/>
        <rFont val="Noto Sans CJK SC"/>
        <family val="2"/>
      </rPr>
      <t xml:space="preserve">，完全分离，模型不收敛（</t>
    </r>
    <r>
      <rPr>
        <sz val="10"/>
        <rFont val="Arial"/>
        <family val="0"/>
        <charset val="1"/>
      </rPr>
      <t xml:space="preserve">gee.py </t>
    </r>
    <r>
      <rPr>
        <sz val="10"/>
        <rFont val="Noto Sans CJK SC"/>
        <family val="2"/>
      </rPr>
      <t xml:space="preserve">输出 </t>
    </r>
    <r>
      <rPr>
        <sz val="10"/>
        <rFont val="Arial"/>
        <family val="0"/>
        <charset val="1"/>
      </rPr>
      <t xml:space="preserve">NaN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</si>
  <si>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S13 · Firth</t>
    </r>
  </si>
  <si>
    <t xml:space="preserve">Odds ratio 14.6 (1.60–1938, profile penalized likelihood) | .013</t>
  </si>
  <si>
    <r>
      <rPr>
        <sz val="10"/>
        <rFont val="Noto Sans CJK SC"/>
        <family val="2"/>
      </rPr>
      <t xml:space="preserve">【一致】闭式解 </t>
    </r>
    <r>
      <rPr>
        <sz val="10"/>
        <rFont val="Arial"/>
        <family val="0"/>
        <charset val="1"/>
      </rPr>
      <t xml:space="preserve">14.629</t>
    </r>
    <r>
      <rPr>
        <sz val="10"/>
        <rFont val="Noto Sans CJK SC"/>
        <family val="2"/>
      </rPr>
      <t xml:space="preserve">；区间与 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为原程序 </t>
    </r>
    <r>
      <rPr>
        <sz val="10"/>
        <rFont val="Arial"/>
        <family val="0"/>
        <charset val="1"/>
      </rPr>
      <t xml:space="preserve">profile </t>
    </r>
    <r>
      <rPr>
        <sz val="10"/>
        <rFont val="Noto Sans CJK SC"/>
        <family val="2"/>
      </rPr>
      <t xml:space="preserve">似然结果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</si>
  <si>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S13 · </t>
    </r>
    <r>
      <rPr>
        <sz val="10"/>
        <rFont val="Noto Sans CJK SC"/>
        <family val="2"/>
      </rPr>
      <t xml:space="preserve">超声 时代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内容</t>
    </r>
  </si>
  <si>
    <t xml:space="preserve">1.05 (0.19–5.81) | .957</t>
  </si>
  <si>
    <r>
      <rPr>
        <sz val="10"/>
        <rFont val="Noto Sans CJK SC"/>
        <family val="2"/>
      </rPr>
      <t xml:space="preserve">【一致】自写 </t>
    </r>
    <r>
      <rPr>
        <sz val="10"/>
        <rFont val="Arial"/>
        <family val="0"/>
        <charset val="1"/>
      </rPr>
      <t xml:space="preserve">IRLS </t>
    </r>
    <r>
      <rPr>
        <sz val="10"/>
        <rFont val="Noto Sans CJK SC"/>
        <family val="2"/>
      </rPr>
      <t xml:space="preserve">交互项 </t>
    </r>
    <r>
      <rPr>
        <sz val="10"/>
        <rFont val="Arial"/>
        <family val="0"/>
        <charset val="1"/>
      </rPr>
      <t xml:space="preserve">OR 1.048 (0.189–5.813)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0.957</t>
    </r>
    <r>
      <rPr>
        <sz val="10"/>
        <rFont val="Noto Sans CJK SC"/>
        <family val="2"/>
      </rPr>
      <t xml:space="preserve">；与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均不显著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的文字一致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</si>
  <si>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S13 · CT </t>
    </r>
    <r>
      <rPr>
        <sz val="10"/>
        <rFont val="Noto Sans CJK SC"/>
        <family val="2"/>
      </rPr>
      <t xml:space="preserve">时代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内容</t>
    </r>
  </si>
  <si>
    <t xml:space="preserve">1.32 (0.27–6.44) | .732</t>
  </si>
  <si>
    <r>
      <rPr>
        <sz val="10"/>
        <rFont val="Noto Sans CJK SC"/>
        <family val="2"/>
      </rPr>
      <t xml:space="preserve">【一致】自写 </t>
    </r>
    <r>
      <rPr>
        <sz val="10"/>
        <rFont val="Arial"/>
        <family val="0"/>
        <charset val="1"/>
      </rPr>
      <t xml:space="preserve">IRLS </t>
    </r>
    <r>
      <rPr>
        <sz val="10"/>
        <rFont val="Noto Sans CJK SC"/>
        <family val="2"/>
      </rPr>
      <t xml:space="preserve">交互项 </t>
    </r>
    <r>
      <rPr>
        <sz val="10"/>
        <rFont val="Arial"/>
        <family val="0"/>
        <charset val="1"/>
      </rPr>
      <t xml:space="preserve">OR 1.319 (0.270–6.436)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 0.732</t>
    </r>
    <r>
      <rPr>
        <sz val="10"/>
        <rFont val="Noto Sans CJK SC"/>
        <family val="2"/>
      </rPr>
      <t xml:space="preserve">；与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均不显著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的文字一致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</si>
  <si>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S1</t>
    </r>
  </si>
  <si>
    <r>
      <rPr>
        <sz val="10"/>
        <rFont val="Arial"/>
        <family val="0"/>
        <charset val="1"/>
      </rPr>
      <t xml:space="preserve">45/59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31/59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27/59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31/59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48 h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24 h </t>
    </r>
    <r>
      <rPr>
        <sz val="10"/>
        <rFont val="Noto Sans CJK SC"/>
        <family val="2"/>
      </rPr>
      <t xml:space="preserve">子集</t>
    </r>
  </si>
  <si>
    <r>
      <rPr>
        <sz val="10"/>
        <rFont val="Noto Sans CJK SC"/>
        <family val="2"/>
      </rPr>
      <t xml:space="preserve">【一致】与表 </t>
    </r>
    <r>
      <rPr>
        <sz val="10"/>
        <rFont val="Arial"/>
        <family val="0"/>
        <charset val="1"/>
      </rPr>
      <t xml:space="preserve">S5 </t>
    </r>
    <r>
      <rPr>
        <sz val="10"/>
        <rFont val="Noto Sans CJK SC"/>
        <family val="2"/>
      </rPr>
      <t xml:space="preserve">同一数据，逐项一致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</si>
  <si>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S14 · Primary: final label</t>
    </r>
  </si>
  <si>
    <t xml:space="preserve">230/293 (78.5) | 165/313 (52.7) | 64/117 (54.7) | 0.29 (0.20–0.41) | 0.27 (0.17–0.44) | 0.96 (0.64–1.45)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</si>
  <si>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230/293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165/313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64/117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vs UGI 0.286 (0.201–0.406)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UGI 0.274 (0.172–0.437)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CT 0.961 (0.637–1.450)</t>
    </r>
    <r>
      <rPr>
        <sz val="10"/>
        <rFont val="Noto Sans CJK SC"/>
        <family val="2"/>
      </rPr>
      <t xml:space="preserve">（手工设计矩阵的 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重拟合，与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独立）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</si>
  <si>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S14 · Conclusion names malrotation</t>
    </r>
  </si>
  <si>
    <t xml:space="preserve">228/293 (77.8) | 152/313 (48.6) | 63/117 (53.8) | 0.26 (0.18–0.36) | 0.27 (0.17–0.43) | 1.05 (0.70–1.59)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</si>
  <si>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228/293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152/313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63/117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vs UGI 0.258 (0.183–0.364)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UGI 0.272 (0.171–0.431)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CT 1.054 (0.700–1.587)</t>
    </r>
    <r>
      <rPr>
        <sz val="10"/>
        <rFont val="Noto Sans CJK SC"/>
        <family val="2"/>
      </rPr>
      <t xml:space="preserve">（手工设计矩阵的 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重拟合，与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独立）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</si>
  <si>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S14 · Possible-tier conclusions counted negative</t>
    </r>
  </si>
  <si>
    <t xml:space="preserve">147/293 (50.2) | 103/313 (32.9) | 30/117 (25.6) | 0.45 (0.33–0.63) | 0.28 (0.18–0.45) | 0.62 (0.38–1.01)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</si>
  <si>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147/293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103/313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30/117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vs UGI 0.455 (0.328–0.631)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UGI 0.284 (0.178–0.453)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CT 0.624 (0.384–1.014)</t>
    </r>
    <r>
      <rPr>
        <sz val="10"/>
        <rFont val="Noto Sans CJK SC"/>
        <family val="2"/>
      </rPr>
      <t xml:space="preserve">（手工设计矩阵的 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重拟合，与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独立）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</si>
  <si>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S14 · Conclusion-only classifier (Supplement_1_classifier.py)</t>
    </r>
  </si>
  <si>
    <t xml:space="preserve">228/293 (77.8) | 161/313 (51.4) | 63/117 (53.8) | 0.29 (0.20–0.40) | 0.28 (0.17–0.44) | 0.97 (0.64–1.46)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</si>
  <si>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228/293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161/313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63/117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vs UGI 0.286 (0.203–0.403)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UGI 0.277 (0.174–0.439)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vs CT 0.968 (0.639–1.465)</t>
    </r>
    <r>
      <rPr>
        <sz val="10"/>
        <rFont val="Noto Sans CJK SC"/>
        <family val="2"/>
      </rPr>
      <t xml:space="preserve">（手工设计矩阵的 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重拟合，与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独立）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</si>
  <si>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S15 · Primary: final label</t>
    </r>
  </si>
  <si>
    <t xml:space="preserve">79.3 (74.6–83.5) | 53.8 (48.2–59.3) | 52.9 (44.3–61.8) | −25.5 (−32.2 to −18.8) | −26.4 (−35.9 to −16.8) | −0.9 (−10.5 to +8.7)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</si>
  <si>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79.25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53.78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52.85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CT−UGI -25.48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US−UGI -26.40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US−CT -0.93</t>
    </r>
    <r>
      <rPr>
        <sz val="10"/>
        <rFont val="Noto Sans CJK SC"/>
        <family val="2"/>
      </rPr>
      <t xml:space="preserve">；区间：独立重跑 </t>
    </r>
    <r>
      <rPr>
        <sz val="10"/>
        <rFont val="Arial"/>
        <family val="0"/>
        <charset val="1"/>
      </rPr>
      <t xml:space="preserve">bootstrap</t>
    </r>
    <r>
      <rPr>
        <sz val="10"/>
        <rFont val="Noto Sans CJK SC"/>
        <family val="2"/>
      </rPr>
      <t xml:space="preserve">（另一种子、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次）与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次结果相差 ≤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个百分点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</si>
  <si>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S15 · Conclusion names malrotation</t>
    </r>
  </si>
  <si>
    <t xml:space="preserve">78.4 (73.6–82.9) | 49.5 (43.9–54.8) | 50.7 (41.8–60.3) | −28.9 (−35.8 to −22.2) | −27.7 (−37.4 to −17.7) | +1.3 (−8.2 to +11.7)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</si>
  <si>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78.39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49.47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50.73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CT−UGI -28.93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US−UGI -27.67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US−CT +1.26</t>
    </r>
    <r>
      <rPr>
        <sz val="10"/>
        <rFont val="Noto Sans CJK SC"/>
        <family val="2"/>
      </rPr>
      <t xml:space="preserve">；区间为原程序 </t>
    </r>
    <r>
      <rPr>
        <sz val="10"/>
        <rFont val="Arial"/>
        <family val="0"/>
        <charset val="1"/>
      </rPr>
      <t xml:space="preserve">cluster bootstrap</t>
    </r>
    <r>
      <rPr>
        <sz val="10"/>
        <rFont val="Noto Sans CJK SC"/>
        <family val="2"/>
      </rPr>
      <t xml:space="preserve">（固定种子、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次）；点估计已独立复算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</si>
  <si>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S15 · Possible-tier conclusions counted negative</t>
    </r>
  </si>
  <si>
    <t xml:space="preserve">51.5 (45.8–57.0) | 34.3 (29.1–39.9) | 25.6 (18.5–32.7) | −17.1 (−24.0 to −9.9) | −25.9 (−34.1 to −17.7) | −8.7 (−16.9 to −0.5)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</si>
  <si>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51.47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34.33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25.61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CT−UGI -17.14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US−UGI -25.87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US−CT -8.73</t>
    </r>
    <r>
      <rPr>
        <sz val="10"/>
        <rFont val="Noto Sans CJK SC"/>
        <family val="2"/>
      </rPr>
      <t xml:space="preserve">；区间为原程序 </t>
    </r>
    <r>
      <rPr>
        <sz val="10"/>
        <rFont val="Arial"/>
        <family val="0"/>
        <charset val="1"/>
      </rPr>
      <t xml:space="preserve">cluster bootstrap</t>
    </r>
    <r>
      <rPr>
        <sz val="10"/>
        <rFont val="Noto Sans CJK SC"/>
        <family val="2"/>
      </rPr>
      <t xml:space="preserve">（固定种子、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次）；点估计已独立复算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</si>
  <si>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S15 · Conclusion-only classifier (Supplement_1_classifier.py)</t>
    </r>
  </si>
  <si>
    <t xml:space="preserve">78.5 (73.8–83.1) | 52.4 (47.1–57.9) | 51.7 (42.6–60.9) | −26.0 (−32.4 to −19.1) | −26.8 (−36.8 to −17.4) | −0.8 (−10.7 to +8.8)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</si>
  <si>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UGI 78.48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52.43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 51.66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CT−UGI -26.04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US−UGI -26.81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US−CT -0.77</t>
    </r>
    <r>
      <rPr>
        <sz val="10"/>
        <rFont val="Noto Sans CJK SC"/>
        <family val="2"/>
      </rPr>
      <t xml:space="preserve">；区间为原程序 </t>
    </r>
    <r>
      <rPr>
        <sz val="10"/>
        <rFont val="Arial"/>
        <family val="0"/>
        <charset val="1"/>
      </rPr>
      <t xml:space="preserve">cluster bootstrap</t>
    </r>
    <r>
      <rPr>
        <sz val="10"/>
        <rFont val="Noto Sans CJK SC"/>
        <family val="2"/>
      </rPr>
      <t xml:space="preserve">（固定种子、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次）；点估计已独立复算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</si>
  <si>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Index examinations, n</t>
    </r>
  </si>
  <si>
    <t xml:space="preserve">293 | 313 | 117</t>
  </si>
  <si>
    <r>
      <rPr>
        <sz val="10"/>
        <rFont val="Noto Sans CJK SC"/>
        <family val="2"/>
      </rPr>
      <t xml:space="preserve">【一致】手工按日历日重算（最近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间隔最小，最早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间隔最大）；分类器标签为 </t>
    </r>
    <r>
      <rPr>
        <sz val="10"/>
        <rFont val="Arial"/>
        <family val="0"/>
        <charset val="1"/>
      </rPr>
      <t xml:space="preserve">Supplement_1_classifier.py </t>
    </r>
    <r>
      <rPr>
        <sz val="10"/>
        <rFont val="Noto Sans CJK SC"/>
        <family val="2"/>
      </rPr>
      <t xml:space="preserve">对合并结论的判定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</si>
  <si>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Calendar days from index examination to operation, median (IQR)</t>
    </r>
  </si>
  <si>
    <t xml:space="preserve">2 (1–3) | 2 (1–3) | 1 (0–2)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</si>
  <si>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Same day, n (%)</t>
    </r>
  </si>
  <si>
    <t xml:space="preserve">48 (16.4) | 61 (19.5) | 32 (27.4)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</si>
  <si>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1 day before, n (%)</t>
    </r>
  </si>
  <si>
    <t xml:space="preserve">86 (29.4) | 73 (23.3) | 33 (28.2)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</si>
  <si>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2–7 days before, n (%)</t>
    </r>
  </si>
  <si>
    <t xml:space="preserve">147 (50.2) | 170 (54.3) | 47 (40.2)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</si>
  <si>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More than 7 days before, n (%)</t>
    </r>
  </si>
  <si>
    <t xml:space="preserve">12 (4.1) | 9 (2.9) | 5 (4.3)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</si>
  <si>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Detection, final label, closest episode (primary), n/N (%)</t>
    </r>
  </si>
  <si>
    <t xml:space="preserve">230/293 (78.5) | 165/313 (52.7) | 64/117 (54.7)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</si>
  <si>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Detection, conclusion-only classifier, closest episode, n/N (%)</t>
    </r>
  </si>
  <si>
    <t xml:space="preserve">228/293 (77.8) | 161/313 (51.4) | 63/117 (53.8)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</si>
  <si>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Detection, conclusion-only classifier, earliest episode, n/N (%)</t>
    </r>
  </si>
  <si>
    <t xml:space="preserve">225/293 (76.8) | 158/313 (50.5) | 60/117 (51.3)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</si>
  <si>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Detection, conclusion-only classifier, any preoperative episode positive, n/N (%)</t>
    </r>
  </si>
  <si>
    <t xml:space="preserve">228/293 (77.8) | 161/313 (51.4) | 64/117 (54.7)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</si>
  <si>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Children with more than one preoperative episode, n</t>
    </r>
  </si>
  <si>
    <t xml:space="preserve">6 | 11 | 11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</si>
  <si>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Detection, final label, examinations within 2 days of operation, n/N (%)</t>
    </r>
  </si>
  <si>
    <t xml:space="preserve">148/186 (79.6) | 111/196 (56.6) | 51/89 (57.3)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</si>
  <si>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Adjusted OR vs UGI series, examinations within 2 days (95% CI)</t>
    </r>
  </si>
  <si>
    <t xml:space="preserve">– | 0.33 (0.21–0.51) | 0.28 (0.16–0.48)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</si>
  <si>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S16 · Adjusted OR vs CT, examinations within 2 days (95% CI)</t>
    </r>
  </si>
  <si>
    <t xml:space="preserve">– | – | 0.87 (0.55–1.38)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</si>
  <si>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All ultrasound examinations (primary denominator)</t>
    </r>
  </si>
  <si>
    <t xml:space="preserve">117 | 3 (2.6; 0.9–7.3) | 3 (2.6; 0.9–7.3) | 2 (1.7; 0.5–6.0) | 59 (50.4; 41.5–59.3) | 64 (54.7; 45.7–63.4)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</si>
  <si>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117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64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</si>
  <si>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Booked as gastrointestinal</t>
    </r>
  </si>
  <si>
    <t xml:space="preserve">73 | 2 (2.7; 0.8–9.5) | 1 (1.4; 0.2–7.4) | 2 (2.7; 0.8–9.5) | 33 (45.2; 34.3–56.6) | 37 (50.7; 39.5–61.8)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</si>
  <si>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73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33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37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</si>
  <si>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Booked as abdominal great-vessel</t>
    </r>
  </si>
  <si>
    <t xml:space="preserve">67 | 2 (3.0; 0.8–10.2) | 2 (3.0; 0.8–10.2) | 0 (0.0; 0.0–5.4) | 43 (64.2; 52.2–74.6) | 46 (68.7; 56.8–78.5)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</si>
  <si>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67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46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</si>
  <si>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Booked as gastrointestinal or great-vessel</t>
    </r>
  </si>
  <si>
    <t xml:space="preserve">112 | 3 (2.7; 0.9–7.6) | 3 (2.7; 0.9–7.6) | 2 (1.8; 0.5–6.3) | 59 (52.7; 43.5–61.7) | 64 (57.1; 47.9–65.9)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</si>
  <si>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112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59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64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</si>
  <si>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Booked as pyloric only</t>
    </r>
  </si>
  <si>
    <t xml:space="preserve">5 | 0 (0.0; 0.0–43.4) | 0 (0.0; 0.0–43.4) | 0 (0.0; 0.0–43.4) | 0 (0.0; 0.0–43.4) | 0 (0.0; 0.0–43.4)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</si>
  <si>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</si>
  <si>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Performed at the bedside</t>
    </r>
  </si>
  <si>
    <t xml:space="preserve">9 | 0 (0.0; 0.0–29.9) | 0 (0.0; 0.0–29.9) | 1 (11.1; 2.0–43.5) | 1 (11.1; 2.0–43.5) | 1 (11.1; 2.0–43.5)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</si>
  <si>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</si>
  <si>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S17 · Child aged 28 days or younger</t>
    </r>
  </si>
  <si>
    <t xml:space="preserve">90 | 2 (2.2; 0.6–7.7) | 2 (2.2; 0.6–7.7) | 1 (1.1; 0.2–6.0) | 48 (53.3; 43.1–63.3) | 50 (55.6; 45.3–65.4)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</si>
  <si>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n 90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d3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sma 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fluid 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whirl 48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det 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区间自写公式）</t>
    </r>
  </si>
  <si>
    <r>
      <rPr>
        <sz val="10"/>
        <rFont val="Arial"/>
        <family val="0"/>
        <charset val="1"/>
      </rPr>
      <t xml:space="preserve">Cover Letter · </t>
    </r>
    <r>
      <rPr>
        <sz val="10"/>
        <rFont val="Noto Sans CJK SC"/>
        <family val="2"/>
      </rPr>
      <t xml:space="preserve">抬头</t>
    </r>
  </si>
  <si>
    <r>
      <rPr>
        <sz val="10"/>
        <rFont val="Noto Sans CJK SC"/>
        <family val="2"/>
      </rPr>
      <t xml:space="preserve">邮编 </t>
    </r>
    <r>
      <rPr>
        <sz val="10"/>
        <rFont val="Arial"/>
        <family val="0"/>
        <charset val="1"/>
      </rPr>
      <t xml:space="preserve">430016</t>
    </r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</si>
  <si>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描述性数字】联系信息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日期，不属研究数据</t>
    </r>
  </si>
  <si>
    <r>
      <rPr>
        <sz val="10"/>
        <rFont val="Noto Sans CJK SC"/>
        <family val="2"/>
      </rPr>
      <t xml:space="preserve">电话、</t>
    </r>
    <r>
      <rPr>
        <sz val="10"/>
        <rFont val="Arial"/>
        <family val="0"/>
        <charset val="1"/>
      </rPr>
      <t xml:space="preserve">ORCID</t>
    </r>
  </si>
  <si>
    <t xml:space="preserve">信件日期</t>
  </si>
  <si>
    <r>
      <rPr>
        <sz val="10"/>
        <rFont val="Arial"/>
        <family val="0"/>
        <charset val="1"/>
      </rPr>
      <t xml:space="preserve">Cover Letter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</si>
  <si>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t xml:space="preserve">the 2020 ACR Appropriateness Criteria … "may be appropriate" … "usually appropriate" … infants older than 2 days</t>
  </si>
  <si>
    <r>
      <rPr>
        <sz val="10"/>
        <rFont val="Arial"/>
        <family val="0"/>
        <charset val="1"/>
      </rPr>
      <t xml:space="preserve">Cover Letter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</t>
    </r>
  </si>
  <si>
    <t xml:space="preserve">723 … 398 … three of 117 (2.6%) … stated in three … twice … 50.4% … 5 of the 58 … 59 of the 112</t>
  </si>
  <si>
    <t xml:space="preserve">【一致】与正文一致</t>
  </si>
  <si>
    <r>
      <rPr>
        <sz val="10"/>
        <rFont val="Arial"/>
        <family val="0"/>
        <charset val="1"/>
      </rPr>
      <t xml:space="preserve">Cover Letter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段</t>
    </r>
  </si>
  <si>
    <t xml:space="preserve">all seven authors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</si>
  <si>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Title Page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位作者</t>
    </r>
  </si>
  <si>
    <t xml:space="preserve">Title Page · Word count</t>
  </si>
  <si>
    <t xml:space="preserve">2,978 … Abstract: 248 words</t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</si>
  <si>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wc.py </t>
    </r>
    <r>
      <rPr>
        <sz val="10"/>
        <rFont val="Noto Sans CJK SC"/>
        <family val="2"/>
      </rPr>
      <t xml:space="preserve">计数 </t>
    </r>
    <r>
      <rPr>
        <sz val="10"/>
        <rFont val="Arial"/>
        <family val="0"/>
        <charset val="1"/>
      </rPr>
      <t xml:space="preserve">2978</t>
    </r>
    <r>
      <rPr>
        <sz val="10"/>
        <rFont val="Noto Sans CJK SC"/>
        <family val="2"/>
      </rPr>
      <t xml:space="preserve">；摘要（含段名）</t>
    </r>
    <r>
      <rPr>
        <sz val="10"/>
        <rFont val="Arial"/>
        <family val="0"/>
        <charset val="1"/>
      </rPr>
      <t xml:space="preserve">248 </t>
    </r>
    <r>
      <rPr>
        <sz val="10"/>
        <rFont val="Noto Sans CJK SC"/>
        <family val="2"/>
      </rPr>
      <t xml:space="preserve">词</t>
    </r>
  </si>
  <si>
    <t xml:space="preserve">Title Page · Tables/Figures</t>
  </si>
  <si>
    <t xml:space="preserve">Tables: 4 | Figures: 3 | Supplements 1–4</t>
  </si>
  <si>
    <r>
      <rPr>
        <sz val="10"/>
        <rFont val="Noto Sans CJK SC"/>
        <family val="2"/>
      </rPr>
      <t xml:space="preserve">【一致】正文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图；补充材料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份</t>
    </r>
  </si>
  <si>
    <r>
      <rPr>
        <sz val="10"/>
        <rFont val="Noto Sans CJK SC"/>
        <family val="2"/>
      </rPr>
      <t xml:space="preserve">正文首页 </t>
    </r>
    <r>
      <rPr>
        <sz val="10"/>
        <rFont val="Arial"/>
        <family val="0"/>
        <charset val="1"/>
      </rPr>
      <t xml:space="preserve">· Word count </t>
    </r>
    <r>
      <rPr>
        <sz val="10"/>
        <rFont val="Noto Sans CJK SC"/>
        <family val="2"/>
      </rPr>
      <t xml:space="preserve">行</t>
    </r>
  </si>
  <si>
    <t xml:space="preserve">Word count: 2,978 … Tables: 4; Figures: 3; Supplements 1–4</t>
  </si>
  <si>
    <r>
      <rPr>
        <sz val="10"/>
        <rFont val="Noto Sans CJK SC"/>
        <family val="2"/>
      </rPr>
      <t xml:space="preserve">【一致】同上 </t>
    </r>
    <r>
      <rPr>
        <sz val="10"/>
        <rFont val="Arial"/>
        <family val="0"/>
        <charset val="1"/>
      </rPr>
      <t xml:space="preserve">2978</t>
    </r>
  </si>
  <si>
    <t xml:space="preserve">(≤28 days, 29 days–1 year, &gt;1 year)</t>
  </si>
  <si>
    <r>
      <rPr>
        <sz val="10"/>
        <rFont val="Noto Sans CJK SC"/>
        <family val="2"/>
      </rPr>
      <t xml:space="preserve">【一致】年龄分组与分析一致：</t>
    </r>
    <r>
      <rPr>
        <sz val="10"/>
        <rFont val="Arial"/>
        <family val="0"/>
        <charset val="1"/>
      </rPr>
      <t xml:space="preserve">neonate = </t>
    </r>
    <r>
      <rPr>
        <sz val="10"/>
        <rFont val="Noto Sans CJK SC"/>
        <family val="2"/>
      </rPr>
      <t xml:space="preserve">年龄 ≤</t>
    </r>
    <r>
      <rPr>
        <sz val="10"/>
        <rFont val="Arial"/>
        <family val="0"/>
        <charset val="1"/>
      </rPr>
      <t xml:space="preserve">28 </t>
    </r>
    <r>
      <rPr>
        <sz val="10"/>
        <rFont val="Noto Sans CJK SC"/>
        <family val="2"/>
      </rPr>
      <t xml:space="preserve">天，</t>
    </r>
    <r>
      <rPr>
        <sz val="10"/>
        <rFont val="Arial"/>
        <family val="0"/>
        <charset val="1"/>
      </rPr>
      <t xml:space="preserve">29–365 </t>
    </r>
    <r>
      <rPr>
        <sz val="10"/>
        <rFont val="Noto Sans CJK SC"/>
        <family val="2"/>
      </rPr>
      <t xml:space="preserve">天，</t>
    </r>
    <r>
      <rPr>
        <sz val="10"/>
        <rFont val="Arial"/>
        <family val="0"/>
        <charset val="1"/>
      </rPr>
      <t xml:space="preserve">&gt;365 </t>
    </r>
    <r>
      <rPr>
        <sz val="10"/>
        <rFont val="Noto Sans CJK SC"/>
        <family val="2"/>
      </rPr>
      <t xml:space="preserve">天（表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的分组）</t>
    </r>
  </si>
  <si>
    <r>
      <rPr>
        <sz val="10"/>
        <rFont val="Arial"/>
        <family val="0"/>
        <charset val="1"/>
      </rPr>
      <t xml:space="preserve">odds ratios 0.29, 95% CI 0.20–0.41, and 0.27, 0.17–0.44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standardized differences −25.5, −32.2 to −18.8, and −26.4, −35.9 to −16.8 percentage points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adjusted odds ratio for ultrasound against CT fell from 0.96 (0.64–1.45) to 0.62 (0.38–1.01)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within 2 days of operation</t>
    </r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</si>
  <si>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GEE </t>
    </r>
    <r>
      <rPr>
        <sz val="10"/>
        <rFont val="Noto Sans CJK SC"/>
        <family val="2"/>
      </rPr>
      <t xml:space="preserve">比值比取自 </t>
    </r>
    <r>
      <rPr>
        <sz val="10"/>
        <rFont val="Arial"/>
        <family val="0"/>
        <charset val="1"/>
      </rPr>
      <t xml:space="preserve">statsmodels </t>
    </r>
    <r>
      <rPr>
        <sz val="10"/>
        <rFont val="Noto Sans CJK SC"/>
        <family val="2"/>
      </rPr>
      <t xml:space="preserve">重拟合（与表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相同）；标准化差值点估计为手工由回归系数算出，区间为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cluster bootstrap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2000 </t>
    </r>
    <r>
      <rPr>
        <sz val="10"/>
        <rFont val="Noto Sans CJK SC"/>
        <family val="2"/>
      </rPr>
      <t xml:space="preserve">次；主定义的区间已由独立重跑核对）；</t>
    </r>
    <r>
      <rPr>
        <sz val="10"/>
        <rFont val="Arial"/>
        <family val="0"/>
        <charset val="1"/>
      </rPr>
      <t xml:space="preserve">"changed these results little"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天内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与主模型之比在 </t>
    </r>
    <r>
      <rPr>
        <sz val="10"/>
        <rFont val="Arial"/>
        <family val="0"/>
        <charset val="1"/>
      </rPr>
      <t xml:space="preserve">0.8–1.25 </t>
    </r>
    <r>
      <rPr>
        <sz val="10"/>
        <rFont val="Noto Sans CJK SC"/>
        <family val="2"/>
      </rPr>
      <t xml:space="preserve">之间，最早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任一次术前检查使检出数最多相差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</t>
    </r>
  </si>
  <si>
    <t xml:space="preserve">all three among the 112 booked as gastrointestinal or great-vessel studies</t>
  </si>
  <si>
    <r>
      <rPr>
        <sz val="10"/>
        <rFont val="Noto Sans CJK SC"/>
        <family val="2"/>
      </rPr>
      <t xml:space="preserve">【一致】预约为胃肠或大血管的检查 </t>
    </r>
    <r>
      <rPr>
        <sz val="10"/>
        <rFont val="Arial"/>
        <family val="0"/>
        <charset val="1"/>
      </rPr>
      <t xml:space="preserve">112 </t>
    </r>
    <r>
      <rPr>
        <sz val="10"/>
        <rFont val="Noto Sans CJK SC"/>
        <family val="2"/>
      </rPr>
      <t xml:space="preserve">次，其中 </t>
    </r>
    <r>
      <rPr>
        <sz val="10"/>
        <rFont val="Arial"/>
        <family val="0"/>
        <charset val="1"/>
      </rPr>
      <t xml:space="preserve">D3/</t>
    </r>
    <r>
      <rPr>
        <sz val="10"/>
        <rFont val="Noto Sans CJK SC"/>
        <family val="2"/>
      </rPr>
      <t xml:space="preserve">十二指肠空肠曲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</si>
  <si>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S2.7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</t>
    </r>
  </si>
  <si>
    <r>
      <rPr>
        <sz val="10"/>
        <rFont val="Arial"/>
        <family val="0"/>
        <charset val="1"/>
      </rPr>
      <t xml:space="preserve">716 of 723 index examinations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the 398 children who underwent at least one index test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2,000 resamples of children (seed 20261010)</t>
    </r>
  </si>
  <si>
    <r>
      <rPr>
        <sz val="10"/>
        <rFont val="Noto Sans CJK SC"/>
        <family val="2"/>
      </rPr>
      <t xml:space="preserve">【一致】分类器标签与终标签一致数由独立程序算出；</t>
    </r>
    <r>
      <rPr>
        <sz val="10"/>
        <rFont val="Arial"/>
        <family val="0"/>
        <charset val="1"/>
      </rPr>
      <t xml:space="preserve">398 = </t>
    </r>
    <r>
      <rPr>
        <sz val="10"/>
        <rFont val="Noto Sans CJK SC"/>
        <family val="2"/>
      </rPr>
      <t xml:space="preserve">至少有一项索引检查的儿童；</t>
    </r>
    <r>
      <rPr>
        <sz val="10"/>
        <rFont val="Arial"/>
        <family val="0"/>
        <charset val="1"/>
      </rPr>
      <t xml:space="preserve">bootstrap </t>
    </r>
    <r>
      <rPr>
        <sz val="10"/>
        <rFont val="Noto Sans CJK SC"/>
        <family val="2"/>
      </rPr>
      <t xml:space="preserve">次数与种子读自 </t>
    </r>
    <r>
      <rPr>
        <sz val="10"/>
        <rFont val="Arial"/>
        <family val="0"/>
        <charset val="1"/>
      </rPr>
      <t xml:space="preserve">hp_sens.json / hp_sens.py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</si>
  <si>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S2.7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</t>
    </r>
  </si>
  <si>
    <r>
      <rPr>
        <sz val="10"/>
        <rFont val="Arial"/>
        <family val="0"/>
        <charset val="1"/>
      </rPr>
      <t xml:space="preserve">25.5 percentage points lower for CT than for the UGI series (95% CI −32.2 to −18.8)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26.4 lower for ultrasound (−35.9 to −16.8)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CT and ultrasound did not differ (−0.9, −10.5 to +8.7)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ultrasound was 8.7 percentage points lower than CT (−16.9 to −0.5; adjusted odds ratio 0.62, 0.38–1.01)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the odds ratios were 0.96, 1.05 and 0.97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(53.1%) than among positive CT reports (37.6%) or UGI reports (</t>
    </r>
  </si>
  <si>
    <r>
      <rPr>
        <sz val="10"/>
        <rFont val="Noto Sans CJK SC"/>
        <family val="2"/>
      </rPr>
      <t xml:space="preserve">【一致】点估计手工算出，区间为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cluster bootstrap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"present under all four definitions"</t>
    </r>
    <r>
      <rPr>
        <sz val="10"/>
        <rFont val="Noto Sans CJK SC"/>
        <family val="2"/>
      </rPr>
      <t xml:space="preserve">：四种定义下 </t>
    </r>
    <r>
      <rPr>
        <sz val="10"/>
        <rFont val="Arial"/>
        <family val="0"/>
        <charset val="1"/>
      </rPr>
      <t xml:space="preserve">CT−UGI </t>
    </r>
    <r>
      <rPr>
        <sz val="10"/>
        <rFont val="Noto Sans CJK SC"/>
        <family val="2"/>
      </rPr>
      <t xml:space="preserve">与超声−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的区间上限均 </t>
    </r>
    <r>
      <rPr>
        <sz val="10"/>
        <rFont val="Arial"/>
        <family val="0"/>
        <charset val="1"/>
      </rPr>
      <t xml:space="preserve">&lt;0</t>
    </r>
    <r>
      <rPr>
        <sz val="10"/>
        <rFont val="Noto Sans CJK SC"/>
        <family val="2"/>
      </rPr>
      <t xml:space="preserve">；确定性分级比例来自表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的分级计数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</si>
  <si>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S2.8</t>
    </r>
  </si>
  <si>
    <r>
      <rPr>
        <sz val="10"/>
        <rFont val="Arial"/>
        <family val="0"/>
        <charset val="1"/>
      </rPr>
      <t xml:space="preserve">a median of 2 days before operation for the UGI series and CT and 1 day for ultrasound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4.1%, 2.9% and 4.3% were more than 7 days before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within 2 calendar days of operation (186, 196 and 89 examinations) was 79.6%, 56.6% and 57.3%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(CT 0.33, 95% CI 0.21–0.51; ultrasound 0.28, 0.16–0.48; ultrasound against CT 0.87, 0.55–1.38)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Only 28 child-modality combinations had more than one preoperative </t>
    </r>
  </si>
  <si>
    <r>
      <rPr>
        <sz val="10"/>
        <rFont val="Noto Sans CJK SC"/>
        <family val="2"/>
      </rPr>
      <t xml:space="preserve">【一致】日历日数、比例、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天内检出率与比值比、多次检查的儿童数、三种索引定义下的检出数均由手工独立程序算出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</si>
  <si>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S2.9</t>
    </r>
  </si>
  <si>
    <r>
      <rPr>
        <sz val="10"/>
        <rFont val="Arial"/>
        <family val="0"/>
        <charset val="1"/>
      </rPr>
      <t xml:space="preserve">the 112 booked as gastrointestinal or great-vessel studies (2.7%, 95% CI 0.9–7.6)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The five booked only as pyloric studies documented none of the elements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Among the 90 children aged 28 days or younger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documented in 2 (2.2%, 0.6–7.7)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children aged 28 days or younger</t>
    </r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</si>
  <si>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Wilson </t>
    </r>
    <r>
      <rPr>
        <sz val="10"/>
        <rFont val="Noto Sans CJK SC"/>
        <family val="2"/>
      </rPr>
      <t xml:space="preserve">区间自写公式；仅幽门预约的检查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次，四项内容均为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</si>
  <si>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S2.10</t>
    </r>
  </si>
  <si>
    <r>
      <rPr>
        <sz val="10"/>
        <rFont val="Arial"/>
        <family val="0"/>
        <charset val="1"/>
      </rPr>
      <t xml:space="preserve">between 2.2% and 3.0% of ultrasound examinations </t>
    </r>
    <r>
      <rPr>
        <sz val="10"/>
        <rFont val="Noto Sans CJK SC"/>
        <family val="2"/>
      </rPr>
      <t xml:space="preserve">｜ </t>
    </r>
    <r>
      <rPr>
        <sz val="10"/>
        <rFont val="Arial"/>
        <family val="0"/>
        <charset val="1"/>
      </rPr>
      <t xml:space="preserve">by 17.1 to 28.9 percentage points under every definition</t>
    </r>
  </si>
  <si>
    <r>
      <rPr>
        <sz val="10"/>
        <rFont val="Noto Sans CJK SC"/>
        <family val="2"/>
      </rPr>
      <t xml:space="preserve">【一致】</t>
    </r>
    <r>
      <rPr>
        <sz val="10"/>
        <rFont val="Arial"/>
        <family val="0"/>
        <charset val="1"/>
      </rPr>
      <t xml:space="preserve">D3 </t>
    </r>
    <r>
      <rPr>
        <sz val="10"/>
        <rFont val="Noto Sans CJK SC"/>
        <family val="2"/>
      </rPr>
      <t xml:space="preserve">或十二指肠空肠曲记录率的范围取全部、胃肠预约、大血管预约、胃肠或大血管、新生儿五个分母；</t>
    </r>
    <r>
      <rPr>
        <sz val="10"/>
        <rFont val="Arial"/>
        <family val="0"/>
        <charset val="1"/>
      </rPr>
      <t xml:space="preserve">CT</t>
    </r>
    <r>
      <rPr>
        <sz val="10"/>
        <rFont val="Noto Sans CJK SC"/>
        <family val="2"/>
      </rPr>
      <t xml:space="preserve">、超声与 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的标准化差值绝对值范围取四种定义</t>
    </r>
  </si>
  <si>
    <r>
      <rPr>
        <sz val="10"/>
        <rFont val="Noto Sans CJK SC"/>
        <family val="2"/>
      </rPr>
      <t xml:space="preserve">摘要 </t>
    </r>
    <r>
      <rPr>
        <sz val="10"/>
        <rFont val="Arial"/>
        <family val="0"/>
        <charset val="1"/>
      </rPr>
      <t xml:space="preserve">· Methods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</si>
  <si>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tertiary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by two independent</t>
    </r>
  </si>
  <si>
    <r>
      <rPr>
        <sz val="10"/>
        <rFont val="Noto Sans CJK SC"/>
        <family val="2"/>
      </rPr>
      <t xml:space="preserve">【定义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描述性数字】描述性计数词（如 </t>
    </r>
    <r>
      <rPr>
        <sz val="10"/>
        <rFont val="Arial"/>
        <family val="0"/>
        <charset val="1"/>
      </rPr>
      <t xml:space="preserve">at least one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all three modalities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two readers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includes zero</t>
    </r>
    <r>
      <rPr>
        <sz val="10"/>
        <rFont val="Noto Sans CJK SC"/>
        <family val="2"/>
      </rPr>
      <t xml:space="preserve">），上下文核对无误</t>
    </r>
  </si>
  <si>
    <r>
      <rPr>
        <sz val="10"/>
        <rFont val="Noto Sans CJK SC"/>
        <family val="2"/>
      </rPr>
      <t xml:space="preserve">摘要 </t>
    </r>
    <r>
      <rPr>
        <sz val="10"/>
        <rFont val="Arial"/>
        <family val="0"/>
        <charset val="1"/>
      </rPr>
      <t xml:space="preserve">· Results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</si>
  <si>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Three of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 least one index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</si>
  <si>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研究对象（计数词）</t>
    </r>
  </si>
  <si>
    <t xml:space="preserve"> One author</t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</si>
  <si>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索引检查（计数词）</t>
    </r>
  </si>
  <si>
    <r>
      <rPr>
        <sz val="10"/>
        <rFont val="Arial"/>
        <family val="0"/>
        <charset val="1"/>
      </rPr>
      <t xml:space="preserve"> one ultrasound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issued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Three modalities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</si>
  <si>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复核（计数词）</t>
    </r>
  </si>
  <si>
    <r>
      <rPr>
        <sz val="10"/>
        <rFont val="Arial"/>
        <family val="0"/>
        <charset val="1"/>
      </rPr>
      <t xml:space="preserve"> one of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as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two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</si>
  <si>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统计（计数词）</t>
    </r>
  </si>
  <si>
    <r>
      <rPr>
        <sz val="10"/>
        <rFont val="Arial"/>
        <family val="0"/>
        <charset val="1"/>
      </rPr>
      <t xml:space="preserve"> one covariate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all three modalities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</si>
  <si>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队列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段（计数词）</t>
    </r>
  </si>
  <si>
    <r>
      <rPr>
        <sz val="10"/>
        <rFont val="Arial"/>
        <family val="0"/>
        <charset val="1"/>
      </rPr>
      <t xml:space="preserve">all three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 least one and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one of the three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</si>
  <si>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队列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段（计数词）</t>
    </r>
  </si>
  <si>
    <t xml:space="preserve"> one index</t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</si>
  <si>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段（计数词）</t>
    </r>
  </si>
  <si>
    <r>
      <rPr>
        <sz val="10"/>
        <rFont val="Arial"/>
        <family val="0"/>
        <charset val="1"/>
      </rPr>
      <t xml:space="preserve"> Three 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of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stated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two ultrasound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all three among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</si>
  <si>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段（计数词）</t>
    </r>
  </si>
  <si>
    <t xml:space="preserve"> one </t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</si>
  <si>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时间趋势（计数词）</t>
    </r>
  </si>
  <si>
    <r>
      <rPr>
        <sz val="10"/>
        <rFont val="Arial"/>
        <family val="0"/>
        <charset val="1"/>
      </rPr>
      <t xml:space="preserve"> two of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in one of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includes zero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</si>
  <si>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亚组（计数词）</t>
    </r>
  </si>
  <si>
    <r>
      <rPr>
        <sz val="10"/>
        <rFont val="Arial"/>
        <family val="0"/>
        <charset val="1"/>
      </rPr>
      <t xml:space="preserve">all three examinations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all three modalities</t>
    </r>
  </si>
  <si>
    <r>
      <rPr>
        <sz val="10"/>
        <rFont val="Arial"/>
        <family val="0"/>
        <charset val="1"/>
      </rPr>
      <t xml:space="preserve">p3.md:17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</si>
  <si>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audit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center</t>
    </r>
  </si>
  <si>
    <r>
      <rPr>
        <sz val="10"/>
        <rFont val="Arial"/>
        <family val="0"/>
        <charset val="1"/>
      </rPr>
      <t xml:space="preserve">Take-Home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条（计数词）</t>
    </r>
  </si>
  <si>
    <t xml:space="preserve"> one center</t>
  </si>
  <si>
    <r>
      <rPr>
        <sz val="10"/>
        <rFont val="Noto Sans CJK SC"/>
        <family val="2"/>
      </rPr>
      <t xml:space="preserve">补充材料说明 </t>
    </r>
    <r>
      <rPr>
        <sz val="10"/>
        <rFont val="Arial"/>
        <family val="0"/>
        <charset val="1"/>
      </rPr>
      <t xml:space="preserve">· Supplement 1</t>
    </r>
    <r>
      <rPr>
        <sz val="10"/>
        <rFont val="Noto Sans CJK SC"/>
        <family val="2"/>
      </rPr>
      <t xml:space="preserve">（计数词）</t>
    </r>
  </si>
  <si>
    <t xml:space="preserve">of the two ultrasound</t>
  </si>
  <si>
    <r>
      <rPr>
        <sz val="10"/>
        <rFont val="Noto Sans CJK SC"/>
        <family val="2"/>
      </rPr>
      <t xml:space="preserve">补充材料说明 </t>
    </r>
    <r>
      <rPr>
        <sz val="10"/>
        <rFont val="Arial"/>
        <family val="0"/>
        <charset val="1"/>
      </rPr>
      <t xml:space="preserve">· Supplement 2</t>
    </r>
    <r>
      <rPr>
        <sz val="10"/>
        <rFont val="Noto Sans CJK SC"/>
        <family val="2"/>
      </rPr>
      <t xml:space="preserve">（计数词）</t>
    </r>
  </si>
  <si>
    <t xml:space="preserve">all three examinations</t>
  </si>
  <si>
    <r>
      <rPr>
        <sz val="10"/>
        <rFont val="Noto Sans CJK SC"/>
        <family val="2"/>
      </rPr>
      <t xml:space="preserve">图注 </t>
    </r>
    <r>
      <rPr>
        <sz val="10"/>
        <rFont val="Arial"/>
        <family val="0"/>
        <charset val="1"/>
      </rPr>
      <t xml:space="preserve">· Figure 3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</si>
  <si>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Three examinations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of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two most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by two independent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</si>
  <si>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K1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</si>
  <si>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negative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question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by one of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</si>
  <si>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K2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</si>
  <si>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same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same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child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examination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reports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by one of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in one child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one in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</si>
  <si>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图注（计数词）</t>
    </r>
  </si>
  <si>
    <r>
      <rPr>
        <sz val="10"/>
        <rFont val="Arial"/>
        <family val="0"/>
        <charset val="1"/>
      </rPr>
      <t xml:space="preserve">all three examinations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all three fell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</si>
  <si>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S2.7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段（计数词）</t>
    </r>
  </si>
  <si>
    <r>
      <rPr>
        <sz val="10"/>
        <rFont val="Arial"/>
        <family val="0"/>
        <charset val="1"/>
      </rPr>
      <t xml:space="preserve"> three age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 least one index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with three others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</si>
  <si>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S2.7 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段（计数词）</t>
    </r>
  </si>
  <si>
    <t xml:space="preserve"> two the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</si>
  <si>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S2.8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</si>
  <si>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preoperative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definitions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with one another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</si>
  <si>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S2.9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</si>
  <si>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three examinations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rows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in two further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</si>
  <si>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S2.10</t>
    </r>
    <r>
      <rPr>
        <sz val="10"/>
        <rFont val="Noto Sans CJK SC"/>
        <family val="2"/>
      </rPr>
      <t xml:space="preserve">（计数词）</t>
    </r>
  </si>
  <si>
    <t xml:space="preserve">of the two main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</si>
  <si>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正文（计数词）</t>
    </r>
  </si>
  <si>
    <r>
      <rPr>
        <sz val="10"/>
        <rFont val="Arial"/>
        <family val="0"/>
        <charset val="1"/>
      </rPr>
      <t xml:space="preserve"> one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in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three CT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Two features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</si>
  <si>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4 · A</t>
    </r>
    <r>
      <rPr>
        <sz val="10"/>
        <rFont val="Noto Sans CJK SC"/>
        <family val="2"/>
      </rPr>
      <t xml:space="preserve">（计数词）</t>
    </r>
  </si>
  <si>
    <t xml:space="preserve"> one</t>
  </si>
  <si>
    <r>
      <rPr>
        <sz val="10"/>
        <rFont val="Arial"/>
        <family val="0"/>
        <charset val="1"/>
      </rPr>
      <t xml:space="preserve">supp4.md:19</t>
    </r>
    <r>
      <rPr>
        <sz val="10"/>
        <rFont val="Noto Sans CJK SC"/>
        <family val="2"/>
      </rPr>
      <t xml:space="preserve">（计数词）</t>
    </r>
  </si>
  <si>
    <r>
      <rPr>
        <sz val="10"/>
        <rFont val="Arial"/>
        <family val="0"/>
        <charset val="1"/>
      </rPr>
      <t xml:space="preserve"> one session</t>
    </r>
    <r>
      <rPr>
        <sz val="10"/>
        <rFont val="Noto Sans CJK SC"/>
        <family val="2"/>
      </rPr>
      <t xml:space="preserve">； </t>
    </r>
    <r>
      <rPr>
        <sz val="10"/>
        <rFont val="Arial"/>
        <family val="0"/>
        <charset val="1"/>
      </rPr>
      <t xml:space="preserve">one unit</t>
    </r>
  </si>
  <si>
    <r>
      <rPr>
        <sz val="10"/>
        <rFont val="Arial"/>
        <family val="0"/>
        <charset val="1"/>
      </rPr>
      <t xml:space="preserve">Title Page · Tables/Figures</t>
    </r>
    <r>
      <rPr>
        <sz val="10"/>
        <rFont val="Noto Sans CJK SC"/>
        <family val="2"/>
      </rPr>
      <t xml:space="preserve">（计数词）</t>
    </r>
  </si>
  <si>
    <t xml:space="preserve"> one script</t>
  </si>
  <si>
    <t xml:space="preserve">优先级</t>
  </si>
  <si>
    <t xml:space="preserve">检查项</t>
  </si>
  <si>
    <t xml:space="preserve">结论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</si>
  <si>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摘要、正文、表格和图片是否一致</t>
    </r>
  </si>
  <si>
    <r>
      <rPr>
        <sz val="10"/>
        <rFont val="Noto Sans CJK SC"/>
        <family val="2"/>
      </rPr>
      <t xml:space="preserve">一致。原有一处例外——确定性分级（表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、补充表 </t>
    </r>
    <r>
      <rPr>
        <sz val="10"/>
        <rFont val="Arial"/>
        <family val="0"/>
        <charset val="1"/>
      </rPr>
      <t xml:space="preserve">S3</t>
    </r>
    <r>
      <rPr>
        <sz val="10"/>
        <rFont val="Noto Sans CJK SC"/>
        <family val="2"/>
      </rPr>
      <t xml:space="preserve">）及摘要、正文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排除可能级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的数字取自单份最近报告——已于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更正（见更正记录）。跨处出现的数字（如 </t>
    </r>
    <r>
      <rPr>
        <sz val="10"/>
        <rFont val="Arial"/>
        <family val="0"/>
        <charset val="1"/>
      </rPr>
      <t xml:space="preserve">230/293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64/117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3/117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59/112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398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723</t>
    </r>
    <r>
      <rPr>
        <sz val="10"/>
        <rFont val="Noto Sans CJK SC"/>
        <family val="2"/>
      </rPr>
      <t xml:space="preserve">）在摘要、正文、表、图、图注、补充材料和 </t>
    </r>
    <r>
      <rPr>
        <sz val="10"/>
        <rFont val="Arial"/>
        <family val="0"/>
        <charset val="1"/>
      </rPr>
      <t xml:space="preserve">Cover Letter </t>
    </r>
    <r>
      <rPr>
        <sz val="10"/>
        <rFont val="Noto Sans CJK SC"/>
        <family val="2"/>
      </rPr>
      <t xml:space="preserve">中全部相同。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</si>
  <si>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分组人数之和是否等于总样本量</t>
    </r>
  </si>
  <si>
    <r>
      <rPr>
        <sz val="10"/>
        <rFont val="Noto Sans CJK SC"/>
        <family val="2"/>
      </rPr>
      <t xml:space="preserve">是。</t>
    </r>
    <r>
      <rPr>
        <sz val="10"/>
        <rFont val="Arial"/>
        <family val="0"/>
        <charset val="1"/>
      </rPr>
      <t xml:space="preserve">398 + 52 = 450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559 − 56 = 503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499 − 34 = 465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465 − 15 = 450</t>
    </r>
    <r>
      <rPr>
        <sz val="10"/>
        <rFont val="Noto Sans CJK SC"/>
        <family val="2"/>
      </rPr>
      <t xml:space="preserve">；锚定手术复核 </t>
    </r>
    <r>
      <rPr>
        <sz val="10"/>
        <rFont val="Arial"/>
        <family val="0"/>
        <charset val="1"/>
      </rPr>
      <t xml:space="preserve">34 = 19 </t>
    </r>
    <r>
      <rPr>
        <sz val="10"/>
        <rFont val="Noto Sans CJK SC"/>
        <family val="2"/>
      </rPr>
      <t xml:space="preserve">保留 </t>
    </r>
    <r>
      <rPr>
        <sz val="10"/>
        <rFont val="Arial"/>
        <family val="0"/>
        <charset val="1"/>
      </rPr>
      <t xml:space="preserve">+ 15 </t>
    </r>
    <r>
      <rPr>
        <sz val="10"/>
        <rFont val="Noto Sans CJK SC"/>
        <family val="2"/>
      </rPr>
      <t xml:space="preserve">排除（</t>
    </r>
    <r>
      <rPr>
        <sz val="10"/>
        <rFont val="Arial"/>
        <family val="0"/>
        <charset val="1"/>
      </rPr>
      <t xml:space="preserve">6 + 9</t>
    </r>
    <r>
      <rPr>
        <sz val="10"/>
        <rFont val="Noto Sans CJK SC"/>
        <family val="2"/>
      </rPr>
      <t xml:space="preserve">）；表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各时期 </t>
    </r>
    <r>
      <rPr>
        <sz val="10"/>
        <rFont val="Arial"/>
        <family val="0"/>
        <charset val="1"/>
      </rPr>
      <t xml:space="preserve">204+89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215+98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38+79 </t>
    </r>
    <r>
      <rPr>
        <sz val="10"/>
        <rFont val="Noto Sans CJK SC"/>
        <family val="2"/>
      </rPr>
      <t xml:space="preserve">等于各检查总数；补充表 </t>
    </r>
    <r>
      <rPr>
        <sz val="10"/>
        <rFont val="Arial"/>
        <family val="0"/>
        <charset val="1"/>
      </rPr>
      <t xml:space="preserve">S6 </t>
    </r>
    <r>
      <rPr>
        <sz val="10"/>
        <rFont val="Noto Sans CJK SC"/>
        <family val="2"/>
      </rPr>
      <t xml:space="preserve">各分层分子分母相加等于表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每行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记录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未记录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分母之和 </t>
    </r>
    <r>
      <rPr>
        <sz val="10"/>
        <rFont val="Arial"/>
        <family val="0"/>
        <charset val="1"/>
      </rPr>
      <t xml:space="preserve">= 117</t>
    </r>
    <r>
      <rPr>
        <sz val="10"/>
        <rFont val="Noto Sans CJK SC"/>
        <family val="2"/>
      </rPr>
      <t xml:space="preserve">、检出之和 </t>
    </r>
    <r>
      <rPr>
        <sz val="10"/>
        <rFont val="Arial"/>
        <family val="0"/>
        <charset val="1"/>
      </rPr>
      <t xml:space="preserve">= 64</t>
    </r>
    <r>
      <rPr>
        <sz val="10"/>
        <rFont val="Noto Sans CJK SC"/>
        <family val="2"/>
      </rPr>
      <t xml:space="preserve">；预约类别 </t>
    </r>
    <r>
      <rPr>
        <sz val="10"/>
        <rFont val="Arial"/>
        <family val="0"/>
        <charset val="1"/>
      </rPr>
      <t xml:space="preserve">73+67+12−28−4−3 = 117</t>
    </r>
    <r>
      <rPr>
        <sz val="10"/>
        <rFont val="Noto Sans CJK SC"/>
        <family val="2"/>
      </rPr>
      <t xml:space="preserve">；三组检查人数 </t>
    </r>
    <r>
      <rPr>
        <sz val="10"/>
        <rFont val="Arial"/>
        <family val="0"/>
        <charset val="1"/>
      </rPr>
      <t xml:space="preserve">293/313/117 </t>
    </r>
    <r>
      <rPr>
        <sz val="10"/>
        <rFont val="Noto Sans CJK SC"/>
        <family val="2"/>
      </rPr>
      <t xml:space="preserve">有重叠，不应相加（表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脚注已说明）。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</si>
  <si>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百分比能否根据分子和分母复算</t>
    </r>
  </si>
  <si>
    <r>
      <rPr>
        <sz val="10"/>
        <rFont val="Noto Sans CJK SC"/>
        <family val="2"/>
      </rPr>
      <t xml:space="preserve">全部可以复算，且与原文一致（确定性分级相关百分比已更正）。</t>
    </r>
    <r>
      <rPr>
        <sz val="10"/>
        <rFont val="Arial"/>
        <family val="0"/>
        <charset val="1"/>
      </rPr>
      <t xml:space="preserve">"80.0% vs 70.0%"</t>
    </r>
    <r>
      <rPr>
        <sz val="10"/>
        <rFont val="Noto Sans CJK SC"/>
        <family val="2"/>
      </rPr>
      <t xml:space="preserve">已补分子分母 </t>
    </r>
    <r>
      <rPr>
        <sz val="10"/>
        <rFont val="Arial"/>
        <family val="0"/>
        <charset val="1"/>
      </rPr>
      <t xml:space="preserve">[144/180] vs [42/60]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"13% to 51%"</t>
    </r>
    <r>
      <rPr>
        <sz val="10"/>
        <rFont val="Noto Sans CJK SC"/>
        <family val="2"/>
      </rPr>
      <t xml:space="preserve">复算为 </t>
    </r>
    <r>
      <rPr>
        <sz val="10"/>
        <rFont val="Arial"/>
        <family val="0"/>
        <charset val="1"/>
      </rPr>
      <t xml:space="preserve">38/296 vs 79/154</t>
    </r>
    <r>
      <rPr>
        <sz val="10"/>
        <rFont val="Noto Sans CJK SC"/>
        <family val="2"/>
      </rPr>
      <t xml:space="preserve">，正文未列分子分母，属可选补充。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</si>
  <si>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表内合计是否正确</t>
    </r>
  </si>
  <si>
    <r>
      <rPr>
        <sz val="10"/>
        <rFont val="Noto Sans CJK SC"/>
        <family val="2"/>
      </rPr>
      <t xml:space="preserve">正确。表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各分级之和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阳性数；补充表 </t>
    </r>
    <r>
      <rPr>
        <sz val="10"/>
        <rFont val="Arial"/>
        <family val="0"/>
        <charset val="1"/>
      </rPr>
      <t xml:space="preserve">S3 </t>
    </r>
    <r>
      <rPr>
        <sz val="10"/>
        <rFont val="Noto Sans CJK SC"/>
        <family val="2"/>
      </rPr>
      <t xml:space="preserve">合计行 </t>
    </r>
    <r>
      <rPr>
        <sz val="10"/>
        <rFont val="Arial"/>
        <family val="0"/>
        <charset val="1"/>
      </rPr>
      <t xml:space="preserve">723/459/264 </t>
    </r>
    <r>
      <rPr>
        <sz val="10"/>
        <rFont val="Noto Sans CJK SC"/>
        <family val="2"/>
      </rPr>
      <t xml:space="preserve">正确，分级合计已改为 </t>
    </r>
    <r>
      <rPr>
        <sz val="10"/>
        <rFont val="Arial"/>
        <family val="0"/>
        <charset val="1"/>
      </rPr>
      <t xml:space="preserve">116/164/179</t>
    </r>
    <r>
      <rPr>
        <sz val="10"/>
        <rFont val="Noto Sans CJK SC"/>
        <family val="2"/>
      </rPr>
      <t xml:space="preserve">，行名改为 </t>
    </r>
    <r>
      <rPr>
        <sz val="10"/>
        <rFont val="Arial"/>
        <family val="0"/>
        <charset val="1"/>
      </rPr>
      <t xml:space="preserve">Total</t>
    </r>
    <r>
      <rPr>
        <sz val="10"/>
        <rFont val="Noto Sans CJK SC"/>
        <family val="2"/>
      </rPr>
      <t xml:space="preserve">；补充表 </t>
    </r>
    <r>
      <rPr>
        <sz val="10"/>
        <rFont val="Arial"/>
        <family val="0"/>
        <charset val="1"/>
      </rPr>
      <t xml:space="preserve">S18 </t>
    </r>
    <r>
      <rPr>
        <sz val="10"/>
        <rFont val="Noto Sans CJK SC"/>
        <family val="2"/>
      </rPr>
      <t xml:space="preserve">各行分母之和 </t>
    </r>
    <r>
      <rPr>
        <sz val="10"/>
        <rFont val="Arial"/>
        <family val="0"/>
        <charset val="1"/>
      </rPr>
      <t xml:space="preserve">= 313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293</t>
    </r>
    <r>
      <rPr>
        <sz val="10"/>
        <rFont val="Noto Sans CJK SC"/>
        <family val="2"/>
      </rPr>
      <t xml:space="preserve">、检出之和 </t>
    </r>
    <r>
      <rPr>
        <sz val="10"/>
        <rFont val="Arial"/>
        <family val="0"/>
        <charset val="1"/>
      </rPr>
      <t xml:space="preserve">= 165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230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</si>
  <si>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5. P </t>
    </r>
    <r>
      <rPr>
        <sz val="10"/>
        <rFont val="Noto Sans CJK SC"/>
        <family val="2"/>
      </rPr>
      <t xml:space="preserve">值与文字描述是否矛盾</t>
    </r>
  </si>
  <si>
    <r>
      <rPr>
        <sz val="10"/>
        <rFont val="Noto Sans CJK SC"/>
        <family val="2"/>
      </rPr>
      <t xml:space="preserve">未发现矛盾。超声粗时代效应 </t>
    </r>
    <r>
      <rPr>
        <sz val="10"/>
        <rFont val="Arial"/>
        <family val="0"/>
        <charset val="1"/>
      </rPr>
      <t xml:space="preserve">P = .060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AME </t>
    </r>
    <r>
      <rPr>
        <sz val="10"/>
        <rFont val="Noto Sans CJK SC"/>
        <family val="2"/>
      </rPr>
      <t xml:space="preserve">区间含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，正文写</t>
    </r>
    <r>
      <rPr>
        <sz val="10"/>
        <rFont val="Arial"/>
        <family val="0"/>
        <charset val="1"/>
      </rPr>
      <t xml:space="preserve">"includes zero"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P = .001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"rose"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UGI P = .333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"did not"</t>
    </r>
    <r>
      <rPr>
        <sz val="10"/>
        <rFont val="Noto Sans CJK SC"/>
        <family val="2"/>
      </rPr>
      <t xml:space="preserve">；配对亚组 </t>
    </r>
    <r>
      <rPr>
        <sz val="10"/>
        <rFont val="Arial"/>
        <family val="0"/>
        <charset val="1"/>
      </rPr>
      <t xml:space="preserve">Cochran Q P &lt; .001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CT </t>
    </r>
    <r>
      <rPr>
        <sz val="10"/>
        <rFont val="Noto Sans CJK SC"/>
        <family val="2"/>
      </rPr>
      <t xml:space="preserve">与超声 </t>
    </r>
    <r>
      <rPr>
        <sz val="10"/>
        <rFont val="Arial"/>
        <family val="0"/>
        <charset val="1"/>
      </rPr>
      <t xml:space="preserve">P = .481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"compatible with zero"</t>
    </r>
    <r>
      <rPr>
        <sz val="10"/>
        <rFont val="Noto Sans CJK SC"/>
        <family val="2"/>
      </rPr>
      <t xml:space="preserve">；交互项 </t>
    </r>
    <r>
      <rPr>
        <sz val="10"/>
        <rFont val="Arial"/>
        <family val="0"/>
        <charset val="1"/>
      </rPr>
      <t xml:space="preserve">P = .957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.732 </t>
    </r>
    <r>
      <rPr>
        <sz val="10"/>
        <rFont val="Noto Sans CJK SC"/>
        <family val="2"/>
      </rPr>
      <t xml:space="preserve">写</t>
    </r>
    <r>
      <rPr>
        <sz val="10"/>
        <rFont val="Arial"/>
        <family val="0"/>
        <charset val="1"/>
      </rPr>
      <t xml:space="preserve">"neither is significant"</t>
    </r>
    <r>
      <rPr>
        <sz val="10"/>
        <rFont val="Noto Sans CJK SC"/>
        <family val="2"/>
      </rPr>
      <t xml:space="preserve">；边界敏感性分析中只有 </t>
    </r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P &lt; .05</t>
    </r>
    <r>
      <rPr>
        <sz val="10"/>
        <rFont val="Noto Sans CJK SC"/>
        <family val="2"/>
      </rPr>
      <t xml:space="preserve">，与补充材料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的文字一致。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</si>
  <si>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不同结局是否误用相同分母</t>
    </r>
  </si>
  <si>
    <r>
      <rPr>
        <sz val="10"/>
        <rFont val="Noto Sans CJK SC"/>
        <family val="2"/>
      </rPr>
      <t xml:space="preserve">未发现误用。漩涡征</t>
    </r>
    <r>
      <rPr>
        <sz val="10"/>
        <rFont val="Arial"/>
        <family val="0"/>
        <charset val="1"/>
      </rPr>
      <t xml:space="preserve">"50.4%"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117 </t>
    </r>
    <r>
      <rPr>
        <sz val="10"/>
        <rFont val="Noto Sans CJK SC"/>
        <family val="2"/>
      </rPr>
      <t xml:space="preserve">次超声为分母，</t>
    </r>
    <r>
      <rPr>
        <sz val="10"/>
        <rFont val="Arial"/>
        <family val="0"/>
        <charset val="1"/>
      </rPr>
      <t xml:space="preserve">"52.7%"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112 </t>
    </r>
    <r>
      <rPr>
        <sz val="10"/>
        <rFont val="Noto Sans CJK SC"/>
        <family val="2"/>
      </rPr>
      <t xml:space="preserve">名扭转患儿为分母，正文分别写明；表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分级百分比以阳性数为分母（脚注已说明）；</t>
    </r>
    <r>
      <rPr>
        <sz val="10"/>
        <rFont val="Arial"/>
        <family val="0"/>
        <charset val="1"/>
      </rPr>
      <t xml:space="preserve">"13% to 51%"</t>
    </r>
    <r>
      <rPr>
        <sz val="10"/>
        <rFont val="Noto Sans CJK SC"/>
        <family val="2"/>
      </rPr>
      <t xml:space="preserve">以该期全部手术患儿为分母，与表 </t>
    </r>
    <r>
      <rPr>
        <sz val="10"/>
        <rFont val="Arial"/>
        <family val="0"/>
        <charset val="1"/>
      </rPr>
      <t xml:space="preserve">1 "Operated 2019–2026"</t>
    </r>
    <r>
      <rPr>
        <sz val="10"/>
        <rFont val="Noto Sans CJK SC"/>
        <family val="2"/>
      </rPr>
      <t xml:space="preserve">（以做超声的患儿为分母）不同，两处各自写明。阅读一致性 </t>
    </r>
    <r>
      <rPr>
        <sz val="10"/>
        <rFont val="Arial"/>
        <family val="0"/>
        <charset val="1"/>
      </rPr>
      <t xml:space="preserve">1,423/1,428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119 </t>
    </r>
    <r>
      <rPr>
        <sz val="10"/>
        <rFont val="Noto Sans CJK SC"/>
        <family val="2"/>
      </rPr>
      <t xml:space="preserve">份为分母（含后来排除的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份），正文已写明。</t>
    </r>
  </si>
  <si>
    <t xml:space="preserve">附：均值、标准差、随访时间</t>
  </si>
  <si>
    <t xml:space="preserve">本文无此类数字。</t>
  </si>
  <si>
    <t xml:space="preserve">原值</t>
  </si>
  <si>
    <t xml:space="preserve">更正后</t>
  </si>
  <si>
    <t xml:space="preserve">依据</t>
  </si>
  <si>
    <r>
      <rPr>
        <sz val="10"/>
        <rFont val="Arial"/>
        <family val="0"/>
        <charset val="1"/>
      </rPr>
      <t xml:space="preserve">cert.py</t>
    </r>
    <r>
      <rPr>
        <sz val="10"/>
        <rFont val="Noto Sans CJK SC"/>
        <family val="2"/>
      </rPr>
      <t xml:space="preserve">（分析程序）</t>
    </r>
  </si>
  <si>
    <r>
      <rPr>
        <sz val="10"/>
        <rFont val="Noto Sans CJK SC"/>
        <family val="2"/>
      </rPr>
      <t xml:space="preserve">确定性分级读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距手术最近的单份报告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结论</t>
    </r>
  </si>
  <si>
    <t xml:space="preserve">改读合并同日报告后的检查次结论，与全文索引单位一致</t>
  </si>
  <si>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个阳性检查次（</t>
    </r>
    <r>
      <rPr>
        <sz val="10"/>
        <rFont val="Arial"/>
        <family val="0"/>
        <charset val="1"/>
      </rPr>
      <t xml:space="preserve">407824 UGI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2352323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4310607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5574297 </t>
    </r>
    <r>
      <rPr>
        <sz val="10"/>
        <rFont val="Noto Sans CJK SC"/>
        <family val="2"/>
      </rPr>
      <t xml:space="preserve">超声）最近一份为阴性配套报告或空白，被默认为 </t>
    </r>
    <r>
      <rPr>
        <sz val="10"/>
        <rFont val="Arial"/>
        <family val="0"/>
        <charset val="1"/>
      </rPr>
      <t xml:space="preserve">definite</t>
    </r>
  </si>
  <si>
    <t xml:space="preserve">27.4% excluding tentative wording</t>
  </si>
  <si>
    <t xml:space="preserve">25.6%</t>
  </si>
  <si>
    <r>
      <rPr>
        <sz val="10"/>
        <rFont val="Noto Sans CJK SC"/>
        <family val="2"/>
      </rPr>
      <t xml:space="preserve">超声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级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份：</t>
    </r>
    <r>
      <rPr>
        <sz val="10"/>
        <rFont val="Arial"/>
        <family val="0"/>
        <charset val="1"/>
      </rPr>
      <t xml:space="preserve">(64−34)/117 = 30/117</t>
    </r>
  </si>
  <si>
    <t xml:space="preserve">50.5%, 32.9% and 27.4%</t>
  </si>
  <si>
    <t xml:space="preserve">50.2%, 32.9% and 25.6%</t>
  </si>
  <si>
    <r>
      <rPr>
        <sz val="10"/>
        <rFont val="Arial"/>
        <family val="0"/>
        <charset val="1"/>
      </rPr>
      <t xml:space="preserve">UGI (230−83)/293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</t>
    </r>
    <r>
      <rPr>
        <sz val="10"/>
        <rFont val="Noto Sans CJK SC"/>
        <family val="2"/>
      </rPr>
      <t xml:space="preserve">不变；超声同上</t>
    </r>
  </si>
  <si>
    <t xml:space="preserve">75 (32.6) | 73 (31.7) | 82 (35.7) | 50.5</t>
  </si>
  <si>
    <t xml:space="preserve">74 (32.2) | 73 (31.7) | 83 (36.1) | 50.2</t>
  </si>
  <si>
    <t xml:space="preserve">同上</t>
  </si>
  <si>
    <t xml:space="preserve">15 (23.4) | 17 (26.6) | 32 (50.0) | 27.4</t>
  </si>
  <si>
    <t xml:space="preserve">12 (18.8) | 18 (28.1) | 34 (53.1) | 25.6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</si>
  <si>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S3</t>
    </r>
  </si>
  <si>
    <r>
      <rPr>
        <sz val="10"/>
        <rFont val="Arial"/>
        <family val="0"/>
        <charset val="1"/>
      </rPr>
      <t xml:space="preserve">UGI 75/73/82</t>
    </r>
    <r>
      <rPr>
        <sz val="10"/>
        <rFont val="Noto Sans CJK SC"/>
        <family val="2"/>
      </rPr>
      <t xml:space="preserve">；超声 </t>
    </r>
    <r>
      <rPr>
        <sz val="10"/>
        <rFont val="Arial"/>
        <family val="0"/>
        <charset val="1"/>
      </rPr>
      <t xml:space="preserve">15/17/32</t>
    </r>
    <r>
      <rPr>
        <sz val="10"/>
        <rFont val="Noto Sans CJK SC"/>
        <family val="2"/>
      </rPr>
      <t xml:space="preserve">；合计 </t>
    </r>
    <r>
      <rPr>
        <sz val="10"/>
        <rFont val="Arial"/>
        <family val="0"/>
        <charset val="1"/>
      </rPr>
      <t xml:space="preserve">120/163/176</t>
    </r>
    <r>
      <rPr>
        <sz val="10"/>
        <rFont val="Noto Sans CJK SC"/>
        <family val="2"/>
      </rPr>
      <t xml:space="preserve">；行名 </t>
    </r>
    <r>
      <rPr>
        <sz val="10"/>
        <rFont val="Arial"/>
        <family val="0"/>
        <charset val="1"/>
      </rPr>
      <t xml:space="preserve">All three</t>
    </r>
  </si>
  <si>
    <r>
      <rPr>
        <sz val="10"/>
        <rFont val="Arial"/>
        <family val="0"/>
        <charset val="1"/>
      </rPr>
      <t xml:space="preserve">UGI 74/73/83</t>
    </r>
    <r>
      <rPr>
        <sz val="10"/>
        <rFont val="Noto Sans CJK SC"/>
        <family val="2"/>
      </rPr>
      <t xml:space="preserve">；超声 </t>
    </r>
    <r>
      <rPr>
        <sz val="10"/>
        <rFont val="Arial"/>
        <family val="0"/>
        <charset val="1"/>
      </rPr>
      <t xml:space="preserve">12/18/34</t>
    </r>
    <r>
      <rPr>
        <sz val="10"/>
        <rFont val="Noto Sans CJK SC"/>
        <family val="2"/>
      </rPr>
      <t xml:space="preserve">；合计 </t>
    </r>
    <r>
      <rPr>
        <sz val="10"/>
        <rFont val="Arial"/>
        <family val="0"/>
        <charset val="1"/>
      </rPr>
      <t xml:space="preserve">116/164/179</t>
    </r>
    <r>
      <rPr>
        <sz val="10"/>
        <rFont val="Noto Sans CJK SC"/>
        <family val="2"/>
      </rPr>
      <t xml:space="preserve">；行名 </t>
    </r>
    <r>
      <rPr>
        <sz val="10"/>
        <rFont val="Arial"/>
        <family val="0"/>
        <charset val="1"/>
      </rPr>
      <t xml:space="preserve">Total</t>
    </r>
  </si>
  <si>
    <r>
      <rPr>
        <sz val="10"/>
        <rFont val="Noto Sans CJK SC"/>
        <family val="2"/>
      </rPr>
      <t xml:space="preserve">同上；行名避免与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三项都做的亚组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混淆</t>
    </r>
  </si>
  <si>
    <t xml:space="preserve">Python 3.12</t>
  </si>
  <si>
    <t xml:space="preserve">Python 3.11</t>
  </si>
  <si>
    <r>
      <rPr>
        <sz val="10"/>
        <rFont val="Noto Sans CJK SC"/>
        <family val="2"/>
      </rPr>
      <t xml:space="preserve">实际运行环境 </t>
    </r>
    <r>
      <rPr>
        <sz val="10"/>
        <rFont val="Arial"/>
        <family val="0"/>
        <charset val="1"/>
      </rPr>
      <t xml:space="preserve">Python 3.11.15</t>
    </r>
  </si>
  <si>
    <r>
      <rPr>
        <sz val="10"/>
        <rFont val="Noto Sans CJK SC"/>
        <family val="2"/>
      </rPr>
      <t xml:space="preserve">引言 第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段；讨论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段；</t>
    </r>
    <r>
      <rPr>
        <sz val="10"/>
        <rFont val="Arial"/>
        <family val="0"/>
        <charset val="1"/>
      </rPr>
      <t xml:space="preserve">Cover Letter</t>
    </r>
  </si>
  <si>
    <t xml:space="preserve">13.5 years</t>
  </si>
  <si>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月至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月共 </t>
    </r>
    <r>
      <rPr>
        <sz val="10"/>
        <rFont val="Arial"/>
        <family val="0"/>
        <charset val="1"/>
      </rPr>
      <t xml:space="preserve">163 </t>
    </r>
    <r>
      <rPr>
        <sz val="10"/>
        <rFont val="Noto Sans CJK SC"/>
        <family val="2"/>
      </rPr>
      <t xml:space="preserve">个月</t>
    </r>
  </si>
  <si>
    <t xml:space="preserve">80.0% vs 70.0%</t>
  </si>
  <si>
    <t xml:space="preserve">80.0% [144/180] vs 70.0% [42/60]</t>
  </si>
  <si>
    <t xml:space="preserve">补分子分母，便于复算</t>
  </si>
  <si>
    <t xml:space="preserve">1,423 of 1,428 item codes</t>
  </si>
  <si>
    <t xml:space="preserve">1,423 of 1,428 item codes in the 119 episodes read</t>
  </si>
  <si>
    <r>
      <rPr>
        <sz val="10"/>
        <rFont val="Noto Sans CJK SC"/>
        <family val="2"/>
      </rPr>
      <t xml:space="preserve">写明一致性的分母（含后来排除的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份）</t>
    </r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</si>
  <si>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份报告因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所见中的征象未写入结论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改判</t>
    </r>
  </si>
  <si>
    <r>
      <rPr>
        <sz val="10"/>
        <rFont val="Noto Sans CJK SC"/>
        <family val="2"/>
      </rPr>
      <t xml:space="preserve">最终标签与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结论点名诊断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在第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节所列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个单元不同</t>
    </r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</si>
  <si>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份改判报告的结论均已点名旋转不良（规避性措辞）</t>
    </r>
  </si>
  <si>
    <r>
      <rPr>
        <sz val="10"/>
        <rFont val="Noto Sans CJK SC"/>
        <family val="2"/>
      </rPr>
      <t xml:space="preserve">筛选条件写作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所见中出现征象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</si>
  <si>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结论或所见出现旋转不良、漩涡或扭转等词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，并说明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份为规避性措辞</t>
    </r>
  </si>
  <si>
    <t xml:space="preserve">按核对表说明更正</t>
  </si>
  <si>
    <t xml:space="preserve">an examination 2.4 days earlier</t>
  </si>
  <si>
    <t xml:space="preserve">an examination 0.8 days earlier (2.4 days before operation)</t>
  </si>
  <si>
    <r>
      <rPr>
        <sz val="10"/>
        <rFont val="Arial"/>
        <family val="0"/>
        <charset val="1"/>
      </rPr>
      <t xml:space="preserve">35792266</t>
    </r>
    <r>
      <rPr>
        <sz val="10"/>
        <rFont val="Noto Sans CJK SC"/>
        <family val="2"/>
      </rPr>
      <t xml:space="preserve">：检查 </t>
    </r>
    <r>
      <rPr>
        <sz val="10"/>
        <rFont val="Arial"/>
        <family val="0"/>
        <charset val="1"/>
      </rPr>
      <t xml:space="preserve">2024-11-18</t>
    </r>
    <r>
      <rPr>
        <sz val="10"/>
        <rFont val="Noto Sans CJK SC"/>
        <family val="2"/>
      </rPr>
      <t xml:space="preserve">，索引检查次 </t>
    </r>
    <r>
      <rPr>
        <sz val="10"/>
        <rFont val="Arial"/>
        <family val="0"/>
        <charset val="1"/>
      </rPr>
      <t xml:space="preserve">2024-11-19</t>
    </r>
    <r>
      <rPr>
        <sz val="10"/>
        <rFont val="Noto Sans CJK SC"/>
        <family val="2"/>
      </rPr>
      <t xml:space="preserve">，手术 </t>
    </r>
    <r>
      <rPr>
        <sz val="10"/>
        <rFont val="Arial"/>
        <family val="0"/>
        <charset val="1"/>
      </rPr>
      <t xml:space="preserve">2024-11-21</t>
    </r>
  </si>
  <si>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例均属所列三种失败方式</t>
    </r>
  </si>
  <si>
    <r>
      <rPr>
        <sz val="10"/>
        <rFont val="Noto Sans CJK SC"/>
        <family val="2"/>
      </rPr>
      <t xml:space="preserve">补</t>
    </r>
    <r>
      <rPr>
        <sz val="10"/>
        <rFont val="Arial"/>
        <family val="0"/>
        <charset val="1"/>
      </rPr>
      <t xml:space="preserve">"one ultrasound unit whose label reflects an earlier examination"</t>
    </r>
  </si>
  <si>
    <t xml:space="preserve">35792266</t>
  </si>
  <si>
    <t xml:space="preserve">institutional surgical records database</t>
  </si>
  <si>
    <t xml:space="preserve">institutional clinical research database</t>
  </si>
  <si>
    <t xml:space="preserve">与正文一致</t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</si>
  <si>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S5</t>
    </r>
  </si>
  <si>
    <r>
      <rPr>
        <sz val="10"/>
        <rFont val="Arial"/>
        <family val="0"/>
        <charset val="1"/>
      </rPr>
      <t xml:space="preserve">"&lt;0.001 | &lt;0.001 | 0.002"</t>
    </r>
    <r>
      <rPr>
        <sz val="10"/>
        <rFont val="Noto Sans CJK SC"/>
        <family val="2"/>
      </rPr>
      <t xml:space="preserve">；表头 </t>
    </r>
    <r>
      <rPr>
        <sz val="10"/>
        <rFont val="Arial"/>
        <family val="0"/>
        <charset val="1"/>
      </rPr>
      <t xml:space="preserve">"Cochran's Q, p"</t>
    </r>
  </si>
  <si>
    <r>
      <rPr>
        <sz val="10"/>
        <rFont val="Arial"/>
        <family val="0"/>
        <charset val="1"/>
      </rPr>
      <t xml:space="preserve">"&lt;.001 | &lt;.001 | .002"</t>
    </r>
    <r>
      <rPr>
        <sz val="10"/>
        <rFont val="Noto Sans CJK SC"/>
        <family val="2"/>
      </rPr>
      <t xml:space="preserve">；表头 </t>
    </r>
    <r>
      <rPr>
        <sz val="10"/>
        <rFont val="Arial"/>
        <family val="0"/>
        <charset val="1"/>
      </rPr>
      <t xml:space="preserve">"Cochran Q, P"</t>
    </r>
  </si>
  <si>
    <r>
      <rPr>
        <sz val="10"/>
        <rFont val="Arial"/>
        <family val="0"/>
        <charset val="1"/>
      </rPr>
      <t xml:space="preserve">AMA </t>
    </r>
    <r>
      <rPr>
        <sz val="10"/>
        <rFont val="Noto Sans CJK SC"/>
        <family val="2"/>
      </rPr>
      <t xml:space="preserve">格式</t>
    </r>
  </si>
  <si>
    <r>
      <rPr>
        <sz val="10"/>
        <rFont val="Noto Sans CJK SC"/>
        <family val="2"/>
      </rPr>
      <t xml:space="preserve">补充</t>
    </r>
    <r>
      <rPr>
        <sz val="10"/>
        <rFont val="Arial"/>
        <family val="0"/>
        <charset val="1"/>
      </rPr>
      <t xml:space="preserve">2 · </t>
    </r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S8</t>
    </r>
  </si>
  <si>
    <t xml:space="preserve">+3.8 → -3.6 pp</t>
  </si>
  <si>
    <t xml:space="preserve">+3.8 → −3.6 pp</t>
  </si>
  <si>
    <t xml:space="preserve">用减号</t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</si>
  <si>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研究对象；图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</si>
  <si>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34 children … and 15 were excluded</t>
    </r>
    <r>
      <rPr>
        <sz val="10"/>
        <rFont val="Noto Sans CJK SC"/>
        <family val="2"/>
      </rPr>
      <t xml:space="preserve">；图框 </t>
    </r>
    <r>
      <rPr>
        <sz val="10"/>
        <rFont val="Arial"/>
        <family val="0"/>
        <charset val="1"/>
      </rPr>
      <t xml:space="preserve">"Excluded after review of the anchor operation n = 15"</t>
    </r>
  </si>
  <si>
    <r>
      <rPr>
        <sz val="10"/>
        <rFont val="Arial"/>
        <family val="0"/>
        <charset val="1"/>
      </rPr>
      <t xml:space="preserve">34 children …: 19 were retained and 15 excluded</t>
    </r>
    <r>
      <rPr>
        <sz val="10"/>
        <rFont val="Noto Sans CJK SC"/>
        <family val="2"/>
      </rPr>
      <t xml:space="preserve">；图框 </t>
    </r>
    <r>
      <rPr>
        <sz val="10"/>
        <rFont val="Arial"/>
        <family val="0"/>
        <charset val="1"/>
      </rPr>
      <t xml:space="preserve">"Anchor operation re-read in 34 children: 19 retained, 15 excluded"</t>
    </r>
  </si>
  <si>
    <r>
      <rPr>
        <sz val="10"/>
        <rFont val="Noto Sans CJK SC"/>
        <family val="2"/>
      </rPr>
      <t xml:space="preserve">原文只给出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中的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，且与图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不符合入选条件的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同数，易混；补出保留的 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例（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核对表）</t>
    </r>
  </si>
  <si>
    <r>
      <rPr>
        <sz val="10"/>
        <rFont val="Noto Sans CJK SC"/>
        <family val="2"/>
      </rPr>
      <t xml:space="preserve">表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</rPr>
      <t xml:space="preserve">行及脚注</t>
    </r>
  </si>
  <si>
    <r>
      <rPr>
        <sz val="10"/>
        <rFont val="Arial"/>
        <family val="0"/>
        <charset val="1"/>
      </rPr>
      <t xml:space="preserve">Symptoms described as repeated, intermittent or lasting months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212 (47.1) | 146 (49.8) | 144 (46.0) | 52 (44.4) | 19 (36.5)</t>
    </r>
  </si>
  <si>
    <r>
      <rPr>
        <sz val="10"/>
        <rFont val="Arial"/>
        <family val="0"/>
        <charset val="1"/>
      </rPr>
      <t xml:space="preserve">Gastrointestinal symptoms for 1 month or longer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38 (8.4) | 19 (6.5) | 21 (6.7) | 5 (4.3) | 9 (17.3)</t>
    </r>
  </si>
  <si>
    <r>
      <rPr>
        <sz val="10"/>
        <rFont val="Noto Sans CJK SC"/>
        <family val="2"/>
      </rPr>
      <t xml:space="preserve">原口径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反复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也匹配数小时内的反复呕吐，不代表慢性病程；改为手术住院入院主诉中消化道症状持续 ≥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个月（脚注写明口径）</t>
    </r>
  </si>
  <si>
    <r>
      <rPr>
        <sz val="10"/>
        <rFont val="Noto Sans CJK SC"/>
        <family val="2"/>
      </rPr>
      <t xml:space="preserve">图 </t>
    </r>
    <r>
      <rPr>
        <sz val="10"/>
        <rFont val="Arial"/>
        <family val="0"/>
        <charset val="1"/>
      </rPr>
      <t xml:space="preserve">3B</t>
    </r>
    <r>
      <rPr>
        <sz val="10"/>
        <rFont val="Noto Sans CJK SC"/>
        <family val="2"/>
      </rPr>
      <t xml:space="preserve">；图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图注</t>
    </r>
  </si>
  <si>
    <r>
      <rPr>
        <sz val="10"/>
        <rFont val="Arial"/>
        <family val="0"/>
        <charset val="1"/>
      </rPr>
      <t xml:space="preserve">"Vessels addressed / not addressed" 33% 1/3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55% 63/114</t>
    </r>
  </si>
  <si>
    <r>
      <rPr>
        <sz val="10"/>
        <rFont val="Arial"/>
        <family val="0"/>
        <charset val="1"/>
      </rPr>
      <t xml:space="preserve">"Bowel gas limiting / No bowel gas limitation" 42% 15/36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60% 49/81</t>
    </r>
    <r>
      <rPr>
        <sz val="10"/>
        <rFont val="Noto Sans CJK SC"/>
        <family val="2"/>
      </rPr>
      <t xml:space="preserve">；图注写明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栏所选项目</t>
    </r>
  </si>
  <si>
    <r>
      <rPr>
        <sz val="10"/>
        <rFont val="Noto Sans CJK SC"/>
        <family val="2"/>
      </rPr>
      <t xml:space="preserve">原柱只有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例，几乎无信息量；换为记录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次的肠气限制（与表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同一数据）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</si>
  <si>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报告者（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改稿）</t>
    </r>
  </si>
  <si>
    <t xml:space="preserve">…and attributes the change in practice from about 2021 to growing awareness of the diagnosis; this account was given retrospectively…</t>
  </si>
  <si>
    <t xml:space="preserve">删去</t>
  </si>
  <si>
    <r>
      <rPr>
        <sz val="10"/>
        <rFont val="Noto Sans CJK SC"/>
        <family val="2"/>
      </rPr>
      <t xml:space="preserve">为新增内容腾出篇幅；讨论早已不再引用科室说法。原为全表唯一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需原始数据确认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项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</si>
  <si>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时间趋势（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改稿）</t>
    </r>
  </si>
  <si>
    <t xml:space="preserve">its odds ratio of 3.51 (1.56–7.87) lay between 3.21 and 4.04 at every era boundary from 2019 to 2022</t>
  </si>
  <si>
    <r>
      <rPr>
        <sz val="10"/>
        <rFont val="Noto Sans CJK SC"/>
        <family val="2"/>
      </rPr>
      <t xml:space="preserve">删去，改为指向补充材料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</si>
  <si>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这些数字仍在表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与表 </t>
    </r>
    <r>
      <rPr>
        <sz val="10"/>
        <rFont val="Arial"/>
        <family val="0"/>
        <charset val="1"/>
      </rPr>
      <t xml:space="preserve">S8</t>
    </r>
    <r>
      <rPr>
        <sz val="10"/>
        <rFont val="Noto Sans CJK SC"/>
        <family val="2"/>
      </rPr>
      <t xml:space="preserve">，已逐项核对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</si>
  <si>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超声内容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改稿）</t>
    </r>
  </si>
  <si>
    <r>
      <rPr>
        <sz val="10"/>
        <rFont val="Arial"/>
        <family val="0"/>
        <charset val="1"/>
      </rPr>
      <t xml:space="preserve">In 2018 … in 2022 … in 2024 …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次检查逐一描述）</t>
    </r>
  </si>
  <si>
    <t xml:space="preserve">Of these three, only one, in 2022, followed D3 … and identified the duodenojejunal junction</t>
  </si>
  <si>
    <t xml:space="preserve">压缩篇幅；年份与十二指肠空肠曲计数已核对</t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</si>
  <si>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改稿）</t>
    </r>
  </si>
  <si>
    <r>
      <rPr>
        <sz val="10"/>
        <rFont val="Arial"/>
        <family val="0"/>
        <charset val="1"/>
      </rPr>
      <t xml:space="preserve">the earlier era contributed only 38 examinations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roughly halved the estimated rise</t>
    </r>
  </si>
  <si>
    <t xml:space="preserve">压缩篇幅；探索性定位不变</t>
  </si>
  <si>
    <r>
      <rPr>
        <sz val="10"/>
        <rFont val="Noto Sans CJK SC"/>
        <family val="2"/>
      </rPr>
      <t xml:space="preserve">引言 第</t>
    </r>
    <r>
      <rPr>
        <sz val="10"/>
        <rFont val="Arial"/>
        <family val="0"/>
        <charset val="1"/>
      </rPr>
      <t xml:space="preserve">2–3</t>
    </r>
    <r>
      <rPr>
        <sz val="10"/>
        <rFont val="Noto Sans CJK SC"/>
        <family val="2"/>
      </rPr>
      <t xml:space="preserve">段；讨论 第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段；</t>
    </r>
    <r>
      <rPr>
        <sz val="10"/>
        <rFont val="Arial"/>
        <family val="0"/>
        <charset val="1"/>
      </rPr>
      <t xml:space="preserve">Cover Letter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改稿）</t>
    </r>
  </si>
  <si>
    <r>
      <rPr>
        <sz val="10"/>
        <rFont val="Noto Sans CJK SC"/>
        <family val="2"/>
      </rPr>
      <t xml:space="preserve">新增文献 </t>
    </r>
    <r>
      <rPr>
        <sz val="10"/>
        <rFont val="Arial"/>
        <family val="0"/>
        <charset val="1"/>
      </rPr>
      <t xml:space="preserve">[19] ACR Appropriateness Criteria Vomiting in Infants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）与 </t>
    </r>
    <r>
      <rPr>
        <sz val="10"/>
        <rFont val="Arial"/>
        <family val="0"/>
        <charset val="1"/>
      </rPr>
      <t xml:space="preserve">[20] Keenan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Sewchuran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），其余文献顺延编号</t>
    </r>
  </si>
  <si>
    <r>
      <rPr>
        <sz val="10"/>
        <rFont val="Noto Sans CJK SC"/>
        <family val="2"/>
      </rPr>
      <t xml:space="preserve">两条均于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检索核对（</t>
    </r>
    <r>
      <rPr>
        <sz val="10"/>
        <rFont val="Arial"/>
        <family val="0"/>
        <charset val="1"/>
      </rPr>
      <t xml:space="preserve">PMID 33153561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39845859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</si>
  <si>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研究对象；补充</t>
    </r>
    <r>
      <rPr>
        <sz val="10"/>
        <rFont val="Arial"/>
        <family val="0"/>
        <charset val="1"/>
      </rPr>
      <t xml:space="preserve">1 · K1–K3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Title Page</t>
    </r>
    <r>
      <rPr>
        <sz val="10"/>
        <rFont val="Noto Sans CJK SC"/>
        <family val="2"/>
      </rPr>
      <t xml:space="preserve">（复核分工）</t>
    </r>
  </si>
  <si>
    <r>
      <rPr>
        <sz val="10"/>
        <rFont val="Arial"/>
        <family val="0"/>
        <charset val="1"/>
      </rPr>
      <t xml:space="preserve">All operative records were re-read for 34 children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K1–K3 </t>
    </r>
    <r>
      <rPr>
        <sz val="10"/>
        <rFont val="Noto Sans CJK SC"/>
        <family val="2"/>
      </rPr>
      <t xml:space="preserve">未写复核者</t>
    </r>
  </si>
  <si>
    <r>
      <rPr>
        <sz val="10"/>
        <rFont val="Arial"/>
        <family val="0"/>
        <charset val="1"/>
      </rPr>
      <t xml:space="preserve">One author, with the imaging labels visible, re-read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K1 </t>
    </r>
    <r>
      <rPr>
        <sz val="10"/>
        <rFont val="Noto Sans CJK SC"/>
        <family val="2"/>
      </rPr>
      <t xml:space="preserve">补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非盲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及排除方向核查；</t>
    </r>
    <r>
      <rPr>
        <sz val="10"/>
        <rFont val="Arial"/>
        <family val="0"/>
        <charset val="1"/>
      </rPr>
      <t xml:space="preserve">K2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K3 </t>
    </r>
    <r>
      <rPr>
        <sz val="10"/>
        <rFont val="Noto Sans CJK SC"/>
        <family val="2"/>
      </rPr>
      <t xml:space="preserve">写明复核者为作者；</t>
    </r>
    <r>
      <rPr>
        <sz val="10"/>
        <rFont val="Arial"/>
        <family val="0"/>
        <charset val="1"/>
      </rPr>
      <t xml:space="preserve">Title Page </t>
    </r>
    <r>
      <rPr>
        <sz val="10"/>
        <rFont val="Noto Sans CJK SC"/>
        <family val="2"/>
      </rPr>
      <t xml:space="preserve">贡献补 </t>
    </r>
    <r>
      <rPr>
        <sz val="10"/>
        <rFont val="Arial"/>
        <family val="0"/>
        <charset val="1"/>
      </rPr>
      <t xml:space="preserve">HL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KZ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ZM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JS </t>
    </r>
    <r>
      <rPr>
        <sz val="10"/>
        <rFont val="Noto Sans CJK SC"/>
        <family val="2"/>
      </rPr>
      <t xml:space="preserve">的复核分工</t>
    </r>
  </si>
  <si>
    <r>
      <rPr>
        <sz val="10"/>
        <rFont val="Noto Sans CJK SC"/>
        <family val="2"/>
      </rPr>
      <t xml:space="preserve">用户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告知：</t>
    </r>
    <r>
      <rPr>
        <sz val="10"/>
        <rFont val="Arial"/>
        <family val="0"/>
        <charset val="1"/>
      </rPr>
      <t xml:space="preserve">S1 Haiyan Lei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S2 Kai Zheng</t>
    </r>
    <r>
      <rPr>
        <sz val="10"/>
        <rFont val="Noto Sans CJK SC"/>
        <family val="2"/>
      </rPr>
      <t xml:space="preserve">、超声阅读者 </t>
    </r>
    <r>
      <rPr>
        <sz val="10"/>
        <rFont val="Arial"/>
        <family val="0"/>
        <charset val="1"/>
      </rPr>
      <t xml:space="preserve">Zhengliang Meng</t>
    </r>
    <r>
      <rPr>
        <sz val="10"/>
        <rFont val="Noto Sans CJK SC"/>
        <family val="2"/>
      </rPr>
      <t xml:space="preserve">（甲）与 </t>
    </r>
    <r>
      <rPr>
        <sz val="10"/>
        <rFont val="Arial"/>
        <family val="0"/>
        <charset val="1"/>
      </rPr>
      <t xml:space="preserve">Jun Shu</t>
    </r>
    <r>
      <rPr>
        <sz val="10"/>
        <rFont val="Noto Sans CJK SC"/>
        <family val="2"/>
      </rPr>
      <t xml:space="preserve">（乙）。</t>
    </r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核对表显示了现有检出标签，故如实写为非盲</t>
    </r>
  </si>
  <si>
    <r>
      <rPr>
        <sz val="10"/>
        <rFont val="Noto Sans CJK SC"/>
        <family val="2"/>
      </rPr>
      <t xml:space="preserve">补充材料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新增）</t>
    </r>
  </si>
  <si>
    <r>
      <rPr>
        <sz val="10"/>
        <rFont val="Noto Sans CJK SC"/>
        <family val="2"/>
      </rPr>
      <t xml:space="preserve">最小报告数据集，表 </t>
    </r>
    <r>
      <rPr>
        <sz val="10"/>
        <rFont val="Arial"/>
        <family val="0"/>
        <charset val="1"/>
      </rPr>
      <t xml:space="preserve">S19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项本研究基线</t>
    </r>
  </si>
  <si>
    <r>
      <rPr>
        <sz val="10"/>
        <rFont val="Noto Sans CJK SC"/>
        <family val="2"/>
      </rPr>
      <t xml:space="preserve">均与两位阅读者共识及表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一致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</si>
  <si>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队列 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段；结果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亚组 第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段；补充</t>
    </r>
    <r>
      <rPr>
        <sz val="10"/>
        <rFont val="Arial"/>
        <family val="0"/>
        <charset val="1"/>
      </rPr>
      <t xml:space="preserve">2 S2.2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S2.6</t>
    </r>
    <r>
      <rPr>
        <sz val="10"/>
        <rFont val="Noto Sans CJK SC"/>
        <family val="2"/>
      </rPr>
      <t xml:space="preserve">；图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图注；表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列标题（通读后措辞）</t>
    </r>
  </si>
  <si>
    <r>
      <rPr>
        <sz val="10"/>
        <rFont val="Arial"/>
        <family val="0"/>
        <charset val="1"/>
      </rPr>
      <t xml:space="preserve">… detection was higher in that position (… vs … for the UGI series)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in whom the diagnosis remained uncertain / was assembled by diagnostic uncertainty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two elements documented in more than seven examinations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2012–2018 (n=38)</t>
    </r>
  </si>
  <si>
    <r>
      <rPr>
        <sz val="10"/>
        <rFont val="Arial"/>
        <family val="0"/>
        <charset val="1"/>
      </rPr>
      <t xml:space="preserve">… UGI detection was higher when it came last (… vs … when it did not)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presumably selected / assembled by diagnostic uncertainty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the two most often documented elements in panel 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2012–2018, n (of 38)</t>
    </r>
  </si>
  <si>
    <r>
      <rPr>
        <sz val="10"/>
        <rFont val="Noto Sans CJK SC"/>
        <family val="2"/>
      </rPr>
      <t xml:space="preserve">补明对比对象；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诊断不确定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是对临床医生考虑的推测，数据未记录检查指征，加 </t>
    </r>
    <r>
      <rPr>
        <sz val="10"/>
        <rFont val="Arial"/>
        <family val="0"/>
        <charset val="1"/>
      </rPr>
      <t xml:space="preserve">presumably</t>
    </r>
    <r>
      <rPr>
        <sz val="10"/>
        <rFont val="Noto Sans CJK SC"/>
        <family val="2"/>
      </rPr>
      <t xml:space="preserve">；图 </t>
    </r>
    <r>
      <rPr>
        <sz val="10"/>
        <rFont val="Arial"/>
        <family val="0"/>
        <charset val="1"/>
      </rPr>
      <t xml:space="preserve">3B </t>
    </r>
    <r>
      <rPr>
        <sz val="10"/>
        <rFont val="Noto Sans CJK SC"/>
        <family val="2"/>
      </rPr>
      <t xml:space="preserve">选取规则改为图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中记录最多的两项；表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时期列只有计数，列标题补 </t>
    </r>
    <r>
      <rPr>
        <sz val="10"/>
        <rFont val="Arial"/>
        <family val="0"/>
        <charset val="1"/>
      </rPr>
      <t xml:space="preserve">n</t>
    </r>
  </si>
  <si>
    <r>
      <rPr>
        <sz val="10"/>
        <rFont val="Noto Sans CJK SC"/>
        <family val="2"/>
      </rPr>
      <t xml:space="preserve">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内容编码；表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注；补充</t>
    </r>
    <r>
      <rPr>
        <sz val="10"/>
        <rFont val="Arial"/>
        <family val="0"/>
        <charset val="1"/>
      </rPr>
      <t xml:space="preserve">1 · K3</t>
    </r>
    <r>
      <rPr>
        <sz val="10"/>
        <rFont val="Noto Sans CJK SC"/>
        <family val="2"/>
      </rPr>
      <t xml:space="preserve">（阅读者与报告）</t>
    </r>
  </si>
  <si>
    <t xml:space="preserve">both authors</t>
  </si>
  <si>
    <t xml:space="preserve">both authors who had reported none of the examinations</t>
  </si>
  <si>
    <r>
      <rPr>
        <sz val="10"/>
        <rFont val="Noto Sans CJK SC"/>
        <family val="2"/>
      </rPr>
      <t xml:space="preserve">用户 </t>
    </r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确认两位超声阅读者均未出具被审计的超声报告；为腾字数删去引言末段 </t>
    </r>
    <r>
      <rPr>
        <sz val="10"/>
        <rFont val="Arial"/>
        <family val="0"/>
        <charset val="1"/>
      </rPr>
      <t xml:space="preserve">"that other departments can apply"</t>
    </r>
  </si>
  <si>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检出率 段；方法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统计；补充</t>
    </r>
    <r>
      <rPr>
        <sz val="10"/>
        <rFont val="Arial"/>
        <family val="0"/>
        <charset val="1"/>
      </rPr>
      <t xml:space="preserve">2 · S2.7–S2.9 </t>
    </r>
    <r>
      <rPr>
        <sz val="10"/>
        <rFont val="Noto Sans CJK SC"/>
        <family val="2"/>
      </rPr>
      <t xml:space="preserve">与表 </t>
    </r>
    <r>
      <rPr>
        <sz val="10"/>
        <rFont val="Arial"/>
        <family val="0"/>
        <charset val="1"/>
      </rPr>
      <t xml:space="preserve">S14–S17</t>
    </r>
    <r>
      <rPr>
        <sz val="10"/>
        <rFont val="Noto Sans CJK SC"/>
        <family val="2"/>
      </rPr>
      <t xml:space="preserve">（统计学审稿后补做）</t>
    </r>
  </si>
  <si>
    <t xml:space="preserve">… CT and ultrasound remained less often positive than the UGI series; the coefficients … are given in Supplement 2</t>
  </si>
  <si>
    <r>
      <rPr>
        <sz val="10"/>
        <rFont val="Arial"/>
        <family val="0"/>
        <charset val="1"/>
      </rPr>
      <t xml:space="preserve">… odds ratios 0.29 (0.20–0.41) and 0.27 (0.17–0.44); standardized differences −25.5 and −26.4 percentage points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ultrasound against CT 0.96 → 0.62 when possible-tier conclusions count negative</t>
    </r>
  </si>
  <si>
    <r>
      <rPr>
        <sz val="10"/>
        <rFont val="Noto Sans CJK SC"/>
        <family val="2"/>
      </rPr>
      <t xml:space="preserve">补效应量；四项敏感性分析由 </t>
    </r>
    <r>
      <rPr>
        <sz val="10"/>
        <rFont val="Arial"/>
        <family val="0"/>
        <charset val="1"/>
      </rPr>
      <t xml:space="preserve">hp_sens.py </t>
    </r>
    <r>
      <rPr>
        <sz val="10"/>
        <rFont val="Noto Sans CJK SC"/>
        <family val="2"/>
      </rPr>
      <t xml:space="preserve">运行、</t>
    </r>
    <r>
      <rPr>
        <sz val="10"/>
        <rFont val="Arial"/>
        <family val="0"/>
        <charset val="1"/>
      </rPr>
      <t xml:space="preserve">verify_hp.py </t>
    </r>
    <r>
      <rPr>
        <sz val="10"/>
        <rFont val="Noto Sans CJK SC"/>
        <family val="2"/>
      </rPr>
      <t xml:space="preserve">独立复算；主文因字数删去引言 </t>
    </r>
    <r>
      <rPr>
        <sz val="10"/>
        <rFont val="Arial"/>
        <family val="0"/>
        <charset val="1"/>
      </rPr>
      <t xml:space="preserve">"The 2025 multicenter series …" </t>
    </r>
    <r>
      <rPr>
        <sz val="10"/>
        <rFont val="Noto Sans CJK SC"/>
        <family val="2"/>
      </rPr>
      <t xml:space="preserve">一句（讨论里已有）、</t>
    </r>
    <r>
      <rPr>
        <sz val="10"/>
        <rFont val="Arial"/>
        <family val="0"/>
        <charset val="1"/>
      </rPr>
      <t xml:space="preserve">"Attenuation was not interpreted as mediation"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"All analysis variables were complete" </t>
    </r>
    <r>
      <rPr>
        <sz val="10"/>
        <rFont val="Noto Sans CJK SC"/>
        <family val="2"/>
      </rPr>
      <t xml:space="preserve">和讨论里两处与局限性重复的句子</t>
    </r>
  </si>
  <si>
    <r>
      <rPr>
        <sz val="10"/>
        <rFont val="Noto Sans CJK SC"/>
        <family val="2"/>
      </rPr>
      <t xml:space="preserve">讨论 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段；</t>
    </r>
    <r>
      <rPr>
        <sz val="10"/>
        <rFont val="Arial"/>
        <family val="0"/>
        <charset val="1"/>
      </rPr>
      <t xml:space="preserve">Cover Letter</t>
    </r>
  </si>
  <si>
    <t xml:space="preserve">duodenal landmarks were documented no more often in the later era</t>
  </si>
  <si>
    <t xml:space="preserve">whirlpool reporting rose while the duodenal landmarks stayed rare</t>
  </si>
  <si>
    <r>
      <rPr>
        <sz val="10"/>
        <rFont val="Arial"/>
        <family val="0"/>
        <charset val="1"/>
      </rPr>
      <t xml:space="preserve">1/38 </t>
    </r>
    <r>
      <rPr>
        <sz val="10"/>
        <rFont val="Noto Sans CJK SC"/>
        <family val="2"/>
      </rPr>
      <t xml:space="preserve">对 </t>
    </r>
    <r>
      <rPr>
        <sz val="10"/>
        <rFont val="Arial"/>
        <family val="0"/>
        <charset val="1"/>
      </rPr>
      <t xml:space="preserve">2/79 </t>
    </r>
    <r>
      <rPr>
        <sz val="10"/>
        <rFont val="Noto Sans CJK SC"/>
        <family val="2"/>
      </rPr>
      <t xml:space="preserve">不足以推断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没有更多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，改为描述性</t>
    </r>
  </si>
  <si>
    <t xml:space="preserve">摘要、结果、讨论、要点（引言—结果—讨论—结论逻辑核查后的必改项）</t>
  </si>
  <si>
    <r>
      <rPr>
        <sz val="10"/>
        <rFont val="Arial"/>
        <family val="0"/>
        <charset val="1"/>
      </rPr>
      <t xml:space="preserve">… rested almost entirely on the whirlpool sign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the audit shows its size and its consequence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detection rose and UGI detection did not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 feature of the pathway rather than of the test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Three features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published performance applies only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recorded in only 59 of 112 children</t>
    </r>
  </si>
  <si>
    <r>
      <rPr>
        <sz val="10"/>
        <rFont val="Arial"/>
        <family val="0"/>
        <charset val="1"/>
      </rPr>
      <t xml:space="preserve">… almost always described a whirlpool (59 of 64)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Such low documentation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CT 2.27 (1.38–3.72) </t>
    </r>
    <r>
      <rPr>
        <sz val="10"/>
        <rFont val="Noto Sans CJK SC"/>
        <family val="2"/>
      </rPr>
      <t xml:space="preserve">而 </t>
    </r>
    <r>
      <rPr>
        <sz val="10"/>
        <rFont val="Arial"/>
        <family val="0"/>
        <charset val="1"/>
      </rPr>
      <t xml:space="preserve">UGI </t>
    </r>
    <r>
      <rPr>
        <sz val="10"/>
        <rFont val="Noto Sans CJK SC"/>
        <family val="2"/>
      </rPr>
      <t xml:space="preserve">估计 </t>
    </r>
    <r>
      <rPr>
        <sz val="10"/>
        <rFont val="Arial"/>
        <family val="0"/>
        <charset val="1"/>
      </rPr>
      <t xml:space="preserve">+5.1 (−4.7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+15.0)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may reflect the pathway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Two features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may not apply …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59 of the 112 ultrasound-examined children</t>
    </r>
  </si>
  <si>
    <r>
      <rPr>
        <sz val="10"/>
        <rFont val="Noto Sans CJK SC"/>
        <family val="2"/>
      </rPr>
      <t xml:space="preserve">因果措辞改为共现；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值推出的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没升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改为估计值和区间；补超声在检查顺序中的位置 </t>
    </r>
    <r>
      <rPr>
        <sz val="10"/>
        <rFont val="Arial"/>
        <family val="0"/>
        <charset val="1"/>
      </rPr>
      <t xml:space="preserve">36.8%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39/106</t>
    </r>
    <r>
      <rPr>
        <sz val="10"/>
        <rFont val="Noto Sans CJK SC"/>
        <family val="2"/>
      </rPr>
      <t xml:space="preserve">，引言承诺而结果漏报）；</t>
    </r>
    <r>
      <rPr>
        <sz val="10"/>
        <rFont val="Arial"/>
        <family val="0"/>
        <charset val="1"/>
      </rPr>
      <t xml:space="preserve">"Three features"</t>
    </r>
    <r>
      <rPr>
        <sz val="10"/>
        <rFont val="Noto Sans CJK SC"/>
        <family val="2"/>
      </rPr>
      <t xml:space="preserve">实为两个，更正；无依据的断言加 </t>
    </r>
    <r>
      <rPr>
        <sz val="10"/>
        <rFont val="Arial"/>
        <family val="0"/>
        <charset val="1"/>
      </rPr>
      <t xml:space="preserve">presumably/may</t>
    </r>
    <r>
      <rPr>
        <sz val="10"/>
        <rFont val="Noto Sans CJK SC"/>
        <family val="2"/>
      </rPr>
      <t xml:space="preserve">；要点补人群（</t>
    </r>
    <r>
      <rPr>
        <sz val="10"/>
        <rFont val="Arial"/>
        <family val="0"/>
        <charset val="1"/>
      </rPr>
      <t xml:space="preserve">96% </t>
    </r>
    <r>
      <rPr>
        <sz val="10"/>
        <rFont val="Noto Sans CJK SC"/>
        <family val="2"/>
      </rPr>
      <t xml:space="preserve">扭转）与分母</t>
    </r>
  </si>
  <si>
    <r>
      <rPr>
        <sz val="10"/>
        <rFont val="Noto Sans CJK SC"/>
        <family val="2"/>
      </rPr>
      <t xml:space="preserve">文献数字（摘要、引言、讨论、</t>
    </r>
    <r>
      <rPr>
        <sz val="10"/>
        <rFont val="Arial"/>
        <family val="0"/>
        <charset val="1"/>
      </rPr>
      <t xml:space="preserve">Cover Letter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</si>
  <si>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93–97%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93%/97%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项研究、</t>
    </r>
    <r>
      <rPr>
        <sz val="10"/>
        <rFont val="Arial"/>
        <family val="0"/>
        <charset val="1"/>
      </rPr>
      <t xml:space="preserve">2,257 </t>
    </r>
    <r>
      <rPr>
        <sz val="10"/>
        <rFont val="Noto Sans CJK SC"/>
        <family val="2"/>
      </rPr>
      <t xml:space="preserve">例、</t>
    </r>
    <r>
      <rPr>
        <sz val="10"/>
        <rFont val="Arial"/>
        <family val="0"/>
        <charset val="1"/>
      </rPr>
      <t xml:space="preserve">94%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539 </t>
    </r>
    <r>
      <rPr>
        <sz val="10"/>
        <rFont val="Noto Sans CJK SC"/>
        <family val="2"/>
      </rPr>
      <t xml:space="preserve">例</t>
    </r>
  </si>
  <si>
    <t xml:space="preserve">不变</t>
  </si>
  <si>
    <r>
      <rPr>
        <sz val="10"/>
        <rFont val="Arial"/>
        <family val="0"/>
        <charset val="1"/>
      </rPr>
      <t xml:space="preserve">2026-10-10 </t>
    </r>
    <r>
      <rPr>
        <sz val="10"/>
        <rFont val="Noto Sans CJK SC"/>
        <family val="2"/>
      </rPr>
      <t xml:space="preserve">检索 </t>
    </r>
    <r>
      <rPr>
        <sz val="10"/>
        <rFont val="Arial"/>
        <family val="0"/>
        <charset val="1"/>
      </rPr>
      <t xml:space="preserve">[11]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[13]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[14] </t>
    </r>
    <r>
      <rPr>
        <sz val="10"/>
        <rFont val="Noto Sans CJK SC"/>
        <family val="2"/>
      </rPr>
      <t xml:space="preserve">摘要核对一致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</si>
</sst>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9.4" hidden="false" customHeight="false" outlineLevel="0" collapsed="false">
      <c r="A3" s="1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9.4" hidden="false" customHeight="false" outlineLevel="0" collapsed="false">
      <c r="A7" s="1" t="s">
        <v>4</v>
      </c>
    </row>
    <row r="8" customFormat="false" ht="32.8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9.4" hidden="false" customHeight="false" outlineLevel="0" collapsed="false">
      <c r="A14" s="4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/>
    </row>
    <row r="20" customFormat="false" ht="19.4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5" t="s">
        <v>16</v>
      </c>
      <c r="B21" s="6" t="n">
        <f aca="false">COUNTA(核对表!B2:B2000)</f>
        <v>355</v>
      </c>
    </row>
    <row r="22" customFormat="false" ht="15" hidden="false" customHeight="false" outlineLevel="0" collapsed="false">
      <c r="A22" s="5" t="s">
        <v>17</v>
      </c>
      <c r="B22" s="6" t="n">
        <f aca="false">COUNTIF(核对表!C2:C2000,"【一致】*")</f>
        <v>304</v>
      </c>
    </row>
    <row r="23" customFormat="false" ht="15" hidden="false" customHeight="false" outlineLevel="0" collapsed="false">
      <c r="A23" s="5" t="s">
        <v>18</v>
      </c>
      <c r="B23" s="6" t="n">
        <f aca="false">COUNTIF(核对表!C2:C2000,"【不一致】*")</f>
        <v>0</v>
      </c>
    </row>
    <row r="24" customFormat="false" ht="15" hidden="false" customHeight="false" outlineLevel="0" collapsed="false">
      <c r="A24" s="5" t="s">
        <v>19</v>
      </c>
      <c r="B24" s="6" t="n">
        <f aca="false">COUNTIF(核对表!C2:C2000,"【需核对原始文献】*")</f>
        <v>0</v>
      </c>
    </row>
    <row r="25" customFormat="false" ht="15" hidden="false" customHeight="false" outlineLevel="0" collapsed="false">
      <c r="A25" s="5" t="s">
        <v>20</v>
      </c>
      <c r="B25" s="6" t="n">
        <f aca="false">COUNTIF(核对表!C2:C2000,"【需原始数据确认】*")</f>
        <v>0</v>
      </c>
    </row>
    <row r="26" customFormat="false" ht="17.15" hidden="false" customHeight="false" outlineLevel="0" collapsed="false">
      <c r="A26" s="5" t="s">
        <v>21</v>
      </c>
      <c r="B26" s="6" t="n">
        <f aca="false">COUNTIF(核对表!C2:C2000,"【定义/描述性数字】*")</f>
        <v>51</v>
      </c>
    </row>
    <row r="27" customFormat="false" ht="15" hidden="false" customHeight="false" outlineLevel="0" collapsed="false">
      <c r="A27" s="5" t="s">
        <v>22</v>
      </c>
      <c r="B27" s="6" t="n">
        <f aca="false">COUNTA(问题汇总!B2:B500)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70"/>
    <col collapsed="false" customWidth="true" hidden="false" outlineLevel="0" max="5" min="4" style="0" width="44"/>
  </cols>
  <sheetData>
    <row r="1" customFormat="false" ht="15" hidden="false" customHeight="fals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</row>
    <row r="2" customFormat="false" ht="58.2" hidden="false" customHeight="false" outlineLevel="0" collapsed="false">
      <c r="A2" s="8" t="s">
        <v>28</v>
      </c>
      <c r="B2" s="9" t="s">
        <v>29</v>
      </c>
      <c r="C2" s="8" t="s">
        <v>30</v>
      </c>
      <c r="D2" s="8" t="s">
        <v>31</v>
      </c>
      <c r="E2" s="8" t="s">
        <v>32</v>
      </c>
    </row>
    <row r="3" customFormat="false" ht="15" hidden="false" customHeight="false" outlineLevel="0" collapsed="false">
      <c r="A3" s="8" t="s">
        <v>33</v>
      </c>
      <c r="B3" s="9" t="s">
        <v>34</v>
      </c>
      <c r="C3" s="8" t="s">
        <v>35</v>
      </c>
      <c r="D3" s="8" t="s">
        <v>31</v>
      </c>
      <c r="E3" s="8" t="s">
        <v>32</v>
      </c>
    </row>
    <row r="4" customFormat="false" ht="15" hidden="false" customHeight="false" outlineLevel="0" collapsed="false">
      <c r="A4" s="10" t="s">
        <v>33</v>
      </c>
      <c r="B4" s="11" t="s">
        <v>36</v>
      </c>
      <c r="C4" s="10" t="s">
        <v>37</v>
      </c>
      <c r="D4" s="10" t="s">
        <v>31</v>
      </c>
      <c r="E4" s="10" t="s">
        <v>32</v>
      </c>
    </row>
    <row r="5" customFormat="false" ht="15" hidden="false" customHeight="false" outlineLevel="0" collapsed="false">
      <c r="A5" s="8" t="s">
        <v>38</v>
      </c>
      <c r="B5" s="9" t="s">
        <v>39</v>
      </c>
      <c r="C5" s="8" t="s">
        <v>40</v>
      </c>
      <c r="D5" s="8" t="s">
        <v>31</v>
      </c>
      <c r="E5" s="8" t="s">
        <v>32</v>
      </c>
    </row>
    <row r="6" customFormat="false" ht="15" hidden="false" customHeight="false" outlineLevel="0" collapsed="false">
      <c r="A6" s="8" t="s">
        <v>38</v>
      </c>
      <c r="B6" s="9" t="s">
        <v>41</v>
      </c>
      <c r="C6" s="8" t="s">
        <v>42</v>
      </c>
      <c r="D6" s="8" t="s">
        <v>31</v>
      </c>
      <c r="E6" s="8" t="s">
        <v>32</v>
      </c>
    </row>
    <row r="7" customFormat="false" ht="15" hidden="false" customHeight="false" outlineLevel="0" collapsed="false">
      <c r="A7" s="8" t="s">
        <v>38</v>
      </c>
      <c r="B7" s="9" t="s">
        <v>43</v>
      </c>
      <c r="C7" s="8" t="s">
        <v>44</v>
      </c>
      <c r="D7" s="8" t="s">
        <v>31</v>
      </c>
      <c r="E7" s="8" t="s">
        <v>32</v>
      </c>
    </row>
    <row r="8" customFormat="false" ht="23.85" hidden="false" customHeight="false" outlineLevel="0" collapsed="false">
      <c r="A8" s="8" t="s">
        <v>38</v>
      </c>
      <c r="B8" s="9" t="s">
        <v>45</v>
      </c>
      <c r="C8" s="8" t="s">
        <v>46</v>
      </c>
      <c r="D8" s="8" t="s">
        <v>31</v>
      </c>
      <c r="E8" s="8" t="s">
        <v>32</v>
      </c>
    </row>
    <row r="9" customFormat="false" ht="15" hidden="false" customHeight="false" outlineLevel="0" collapsed="false">
      <c r="A9" s="8" t="s">
        <v>38</v>
      </c>
      <c r="B9" s="9" t="s">
        <v>47</v>
      </c>
      <c r="C9" s="8" t="s">
        <v>48</v>
      </c>
      <c r="D9" s="8" t="s">
        <v>31</v>
      </c>
      <c r="E9" s="8" t="s">
        <v>32</v>
      </c>
    </row>
    <row r="10" customFormat="false" ht="15" hidden="false" customHeight="false" outlineLevel="0" collapsed="false">
      <c r="A10" s="8" t="s">
        <v>38</v>
      </c>
      <c r="B10" s="9" t="s">
        <v>49</v>
      </c>
      <c r="C10" s="8" t="s">
        <v>50</v>
      </c>
      <c r="D10" s="8" t="s">
        <v>31</v>
      </c>
      <c r="E10" s="8" t="s">
        <v>32</v>
      </c>
    </row>
    <row r="11" customFormat="false" ht="15" hidden="false" customHeight="false" outlineLevel="0" collapsed="false">
      <c r="A11" s="8" t="s">
        <v>38</v>
      </c>
      <c r="B11" s="9" t="s">
        <v>51</v>
      </c>
      <c r="C11" s="8" t="s">
        <v>52</v>
      </c>
      <c r="D11" s="8" t="s">
        <v>31</v>
      </c>
      <c r="E11" s="8" t="s">
        <v>32</v>
      </c>
    </row>
    <row r="12" customFormat="false" ht="15" hidden="false" customHeight="false" outlineLevel="0" collapsed="false">
      <c r="A12" s="8" t="s">
        <v>38</v>
      </c>
      <c r="B12" s="9" t="s">
        <v>53</v>
      </c>
      <c r="C12" s="8" t="s">
        <v>54</v>
      </c>
      <c r="D12" s="8" t="s">
        <v>31</v>
      </c>
      <c r="E12" s="8" t="s">
        <v>32</v>
      </c>
    </row>
    <row r="13" customFormat="false" ht="15" hidden="false" customHeight="false" outlineLevel="0" collapsed="false">
      <c r="A13" s="8" t="s">
        <v>38</v>
      </c>
      <c r="B13" s="9" t="s">
        <v>55</v>
      </c>
      <c r="C13" s="8" t="s">
        <v>56</v>
      </c>
      <c r="D13" s="8" t="s">
        <v>31</v>
      </c>
      <c r="E13" s="8" t="s">
        <v>32</v>
      </c>
    </row>
    <row r="14" customFormat="false" ht="29.85" hidden="false" customHeight="false" outlineLevel="0" collapsed="false">
      <c r="A14" s="8" t="s">
        <v>38</v>
      </c>
      <c r="B14" s="9" t="s">
        <v>57</v>
      </c>
      <c r="C14" s="8" t="s">
        <v>58</v>
      </c>
      <c r="D14" s="8" t="s">
        <v>31</v>
      </c>
      <c r="E14" s="8" t="s">
        <v>32</v>
      </c>
    </row>
    <row r="15" customFormat="false" ht="15" hidden="false" customHeight="false" outlineLevel="0" collapsed="false">
      <c r="A15" s="8" t="s">
        <v>38</v>
      </c>
      <c r="B15" s="9" t="s">
        <v>59</v>
      </c>
      <c r="C15" s="8" t="s">
        <v>60</v>
      </c>
      <c r="D15" s="8" t="s">
        <v>31</v>
      </c>
      <c r="E15" s="8" t="s">
        <v>32</v>
      </c>
    </row>
    <row r="16" customFormat="false" ht="29.85" hidden="false" customHeight="false" outlineLevel="0" collapsed="false">
      <c r="A16" s="8" t="s">
        <v>38</v>
      </c>
      <c r="B16" s="9" t="s">
        <v>61</v>
      </c>
      <c r="C16" s="8" t="s">
        <v>62</v>
      </c>
      <c r="D16" s="8" t="s">
        <v>31</v>
      </c>
      <c r="E16" s="8" t="s">
        <v>32</v>
      </c>
    </row>
    <row r="17" customFormat="false" ht="100.7" hidden="false" customHeight="false" outlineLevel="0" collapsed="false">
      <c r="A17" s="8" t="s">
        <v>63</v>
      </c>
      <c r="B17" s="9" t="s">
        <v>64</v>
      </c>
      <c r="C17" s="8" t="s">
        <v>65</v>
      </c>
      <c r="D17" s="8" t="s">
        <v>31</v>
      </c>
      <c r="E17" s="8" t="s">
        <v>32</v>
      </c>
    </row>
    <row r="18" customFormat="false" ht="114.9" hidden="false" customHeight="false" outlineLevel="0" collapsed="false">
      <c r="A18" s="8" t="s">
        <v>63</v>
      </c>
      <c r="B18" s="9" t="s">
        <v>66</v>
      </c>
      <c r="C18" s="8" t="s">
        <v>67</v>
      </c>
      <c r="D18" s="8" t="s">
        <v>31</v>
      </c>
      <c r="E18" s="8" t="s">
        <v>32</v>
      </c>
    </row>
    <row r="19" customFormat="false" ht="15" hidden="false" customHeight="false" outlineLevel="0" collapsed="false">
      <c r="A19" s="8" t="s">
        <v>68</v>
      </c>
      <c r="B19" s="9" t="s">
        <v>69</v>
      </c>
      <c r="C19" s="8" t="s">
        <v>70</v>
      </c>
      <c r="D19" s="8" t="s">
        <v>31</v>
      </c>
      <c r="E19" s="8" t="s">
        <v>32</v>
      </c>
    </row>
    <row r="20" customFormat="false" ht="15" hidden="false" customHeight="false" outlineLevel="0" collapsed="false">
      <c r="A20" s="10" t="s">
        <v>71</v>
      </c>
      <c r="B20" s="11" t="s">
        <v>72</v>
      </c>
      <c r="C20" s="10" t="s">
        <v>73</v>
      </c>
      <c r="D20" s="10" t="s">
        <v>31</v>
      </c>
      <c r="E20" s="10" t="s">
        <v>32</v>
      </c>
    </row>
    <row r="21" customFormat="false" ht="15" hidden="false" customHeight="false" outlineLevel="0" collapsed="false">
      <c r="A21" s="8" t="s">
        <v>74</v>
      </c>
      <c r="B21" s="9" t="s">
        <v>75</v>
      </c>
      <c r="C21" s="8" t="s">
        <v>76</v>
      </c>
      <c r="D21" s="8" t="s">
        <v>31</v>
      </c>
      <c r="E21" s="8" t="s">
        <v>32</v>
      </c>
    </row>
    <row r="22" customFormat="false" ht="15" hidden="false" customHeight="false" outlineLevel="0" collapsed="false">
      <c r="A22" s="8" t="s">
        <v>74</v>
      </c>
      <c r="B22" s="9" t="s">
        <v>77</v>
      </c>
      <c r="C22" s="8" t="s">
        <v>78</v>
      </c>
      <c r="D22" s="8" t="s">
        <v>31</v>
      </c>
      <c r="E22" s="8" t="s">
        <v>32</v>
      </c>
    </row>
    <row r="23" customFormat="false" ht="15" hidden="false" customHeight="false" outlineLevel="0" collapsed="false">
      <c r="A23" s="8" t="s">
        <v>74</v>
      </c>
      <c r="B23" s="9" t="s">
        <v>79</v>
      </c>
      <c r="C23" s="8" t="s">
        <v>80</v>
      </c>
      <c r="D23" s="8" t="s">
        <v>31</v>
      </c>
      <c r="E23" s="8" t="s">
        <v>32</v>
      </c>
    </row>
    <row r="24" customFormat="false" ht="15" hidden="false" customHeight="false" outlineLevel="0" collapsed="false">
      <c r="A24" s="8" t="s">
        <v>74</v>
      </c>
      <c r="B24" s="9" t="s">
        <v>81</v>
      </c>
      <c r="C24" s="8" t="s">
        <v>82</v>
      </c>
      <c r="D24" s="8" t="s">
        <v>31</v>
      </c>
      <c r="E24" s="8" t="s">
        <v>32</v>
      </c>
    </row>
    <row r="25" customFormat="false" ht="15" hidden="false" customHeight="false" outlineLevel="0" collapsed="false">
      <c r="A25" s="8" t="s">
        <v>74</v>
      </c>
      <c r="B25" s="9" t="s">
        <v>83</v>
      </c>
      <c r="C25" s="8" t="s">
        <v>84</v>
      </c>
      <c r="D25" s="8" t="s">
        <v>31</v>
      </c>
      <c r="E25" s="8" t="s">
        <v>32</v>
      </c>
    </row>
    <row r="26" customFormat="false" ht="15" hidden="false" customHeight="false" outlineLevel="0" collapsed="false">
      <c r="A26" s="8" t="s">
        <v>74</v>
      </c>
      <c r="B26" s="9" t="s">
        <v>85</v>
      </c>
      <c r="C26" s="8" t="s">
        <v>86</v>
      </c>
      <c r="D26" s="8" t="s">
        <v>31</v>
      </c>
      <c r="E26" s="8" t="s">
        <v>32</v>
      </c>
    </row>
    <row r="27" customFormat="false" ht="15" hidden="false" customHeight="false" outlineLevel="0" collapsed="false">
      <c r="A27" s="10" t="s">
        <v>87</v>
      </c>
      <c r="B27" s="11" t="s">
        <v>88</v>
      </c>
      <c r="C27" s="10" t="s">
        <v>89</v>
      </c>
      <c r="D27" s="10" t="s">
        <v>31</v>
      </c>
      <c r="E27" s="10" t="s">
        <v>32</v>
      </c>
    </row>
    <row r="28" customFormat="false" ht="29.85" hidden="false" customHeight="false" outlineLevel="0" collapsed="false">
      <c r="A28" s="8" t="s">
        <v>87</v>
      </c>
      <c r="B28" s="9" t="s">
        <v>90</v>
      </c>
      <c r="C28" s="8" t="s">
        <v>91</v>
      </c>
      <c r="D28" s="8" t="s">
        <v>31</v>
      </c>
      <c r="E28" s="8" t="s">
        <v>32</v>
      </c>
    </row>
    <row r="29" customFormat="false" ht="23.85" hidden="false" customHeight="false" outlineLevel="0" collapsed="false">
      <c r="A29" s="8" t="s">
        <v>87</v>
      </c>
      <c r="B29" s="9" t="s">
        <v>92</v>
      </c>
      <c r="C29" s="8" t="s">
        <v>93</v>
      </c>
      <c r="D29" s="8" t="s">
        <v>31</v>
      </c>
      <c r="E29" s="8" t="s">
        <v>32</v>
      </c>
    </row>
    <row r="30" customFormat="false" ht="29.85" hidden="false" customHeight="false" outlineLevel="0" collapsed="false">
      <c r="A30" s="8" t="s">
        <v>87</v>
      </c>
      <c r="B30" s="9" t="s">
        <v>94</v>
      </c>
      <c r="C30" s="8" t="s">
        <v>95</v>
      </c>
      <c r="D30" s="8" t="s">
        <v>31</v>
      </c>
      <c r="E30" s="8" t="s">
        <v>32</v>
      </c>
    </row>
    <row r="31" customFormat="false" ht="15" hidden="false" customHeight="false" outlineLevel="0" collapsed="false">
      <c r="A31" s="8" t="s">
        <v>96</v>
      </c>
      <c r="B31" s="9" t="s">
        <v>97</v>
      </c>
      <c r="C31" s="8" t="s">
        <v>98</v>
      </c>
      <c r="D31" s="8" t="s">
        <v>31</v>
      </c>
      <c r="E31" s="8" t="s">
        <v>32</v>
      </c>
    </row>
    <row r="32" customFormat="false" ht="15" hidden="false" customHeight="false" outlineLevel="0" collapsed="false">
      <c r="A32" s="10" t="s">
        <v>99</v>
      </c>
      <c r="B32" s="11" t="s">
        <v>100</v>
      </c>
      <c r="C32" s="10" t="s">
        <v>101</v>
      </c>
      <c r="D32" s="10" t="s">
        <v>31</v>
      </c>
      <c r="E32" s="10" t="s">
        <v>32</v>
      </c>
    </row>
    <row r="33" customFormat="false" ht="15" hidden="false" customHeight="false" outlineLevel="0" collapsed="false">
      <c r="A33" s="8" t="s">
        <v>102</v>
      </c>
      <c r="B33" s="9" t="s">
        <v>103</v>
      </c>
      <c r="C33" s="8" t="s">
        <v>104</v>
      </c>
      <c r="D33" s="8" t="s">
        <v>31</v>
      </c>
      <c r="E33" s="8" t="s">
        <v>32</v>
      </c>
    </row>
    <row r="34" customFormat="false" ht="15" hidden="false" customHeight="false" outlineLevel="0" collapsed="false">
      <c r="A34" s="8" t="s">
        <v>102</v>
      </c>
      <c r="B34" s="9" t="s">
        <v>105</v>
      </c>
      <c r="C34" s="8" t="s">
        <v>106</v>
      </c>
      <c r="D34" s="8" t="s">
        <v>31</v>
      </c>
      <c r="E34" s="8" t="s">
        <v>32</v>
      </c>
    </row>
    <row r="35" customFormat="false" ht="15" hidden="false" customHeight="false" outlineLevel="0" collapsed="false">
      <c r="A35" s="8" t="s">
        <v>102</v>
      </c>
      <c r="B35" s="9" t="s">
        <v>107</v>
      </c>
      <c r="C35" s="8" t="s">
        <v>108</v>
      </c>
      <c r="D35" s="8" t="s">
        <v>31</v>
      </c>
      <c r="E35" s="8" t="s">
        <v>32</v>
      </c>
    </row>
    <row r="36" customFormat="false" ht="15" hidden="false" customHeight="false" outlineLevel="0" collapsed="false">
      <c r="A36" s="8" t="s">
        <v>102</v>
      </c>
      <c r="B36" s="9" t="s">
        <v>109</v>
      </c>
      <c r="C36" s="8" t="s">
        <v>110</v>
      </c>
      <c r="D36" s="8" t="s">
        <v>31</v>
      </c>
      <c r="E36" s="8" t="s">
        <v>32</v>
      </c>
    </row>
    <row r="37" customFormat="false" ht="15" hidden="false" customHeight="false" outlineLevel="0" collapsed="false">
      <c r="A37" s="10" t="s">
        <v>111</v>
      </c>
      <c r="B37" s="11" t="s">
        <v>112</v>
      </c>
      <c r="C37" s="10" t="s">
        <v>113</v>
      </c>
      <c r="D37" s="10" t="s">
        <v>31</v>
      </c>
      <c r="E37" s="10" t="s">
        <v>32</v>
      </c>
    </row>
    <row r="38" customFormat="false" ht="23.85" hidden="false" customHeight="false" outlineLevel="0" collapsed="false">
      <c r="A38" s="8" t="s">
        <v>111</v>
      </c>
      <c r="B38" s="9" t="s">
        <v>114</v>
      </c>
      <c r="C38" s="8" t="s">
        <v>115</v>
      </c>
      <c r="D38" s="8" t="s">
        <v>31</v>
      </c>
      <c r="E38" s="8" t="s">
        <v>32</v>
      </c>
    </row>
    <row r="39" customFormat="false" ht="15" hidden="false" customHeight="false" outlineLevel="0" collapsed="false">
      <c r="A39" s="10" t="s">
        <v>111</v>
      </c>
      <c r="B39" s="11" t="s">
        <v>116</v>
      </c>
      <c r="C39" s="10" t="s">
        <v>117</v>
      </c>
      <c r="D39" s="10" t="s">
        <v>31</v>
      </c>
      <c r="E39" s="10" t="s">
        <v>32</v>
      </c>
    </row>
    <row r="40" customFormat="false" ht="15" hidden="false" customHeight="false" outlineLevel="0" collapsed="false">
      <c r="A40" s="8" t="s">
        <v>111</v>
      </c>
      <c r="B40" s="9" t="s">
        <v>118</v>
      </c>
      <c r="C40" s="8" t="s">
        <v>119</v>
      </c>
      <c r="D40" s="8" t="s">
        <v>31</v>
      </c>
      <c r="E40" s="8" t="s">
        <v>32</v>
      </c>
    </row>
    <row r="41" customFormat="false" ht="15" hidden="false" customHeight="false" outlineLevel="0" collapsed="false">
      <c r="A41" s="8" t="s">
        <v>120</v>
      </c>
      <c r="B41" s="9" t="s">
        <v>121</v>
      </c>
      <c r="C41" s="8" t="s">
        <v>122</v>
      </c>
      <c r="D41" s="8" t="s">
        <v>31</v>
      </c>
      <c r="E41" s="8" t="s">
        <v>32</v>
      </c>
    </row>
    <row r="42" customFormat="false" ht="15" hidden="false" customHeight="false" outlineLevel="0" collapsed="false">
      <c r="A42" s="8" t="s">
        <v>120</v>
      </c>
      <c r="B42" s="9" t="s">
        <v>123</v>
      </c>
      <c r="C42" s="8" t="s">
        <v>124</v>
      </c>
      <c r="D42" s="8" t="s">
        <v>31</v>
      </c>
      <c r="E42" s="8" t="s">
        <v>32</v>
      </c>
    </row>
    <row r="43" customFormat="false" ht="15" hidden="false" customHeight="false" outlineLevel="0" collapsed="false">
      <c r="A43" s="8" t="s">
        <v>120</v>
      </c>
      <c r="B43" s="9" t="s">
        <v>125</v>
      </c>
      <c r="C43" s="8" t="s">
        <v>126</v>
      </c>
      <c r="D43" s="8" t="s">
        <v>31</v>
      </c>
      <c r="E43" s="8" t="s">
        <v>32</v>
      </c>
    </row>
    <row r="44" customFormat="false" ht="29.85" hidden="false" customHeight="false" outlineLevel="0" collapsed="false">
      <c r="A44" s="8" t="s">
        <v>127</v>
      </c>
      <c r="B44" s="9" t="s">
        <v>128</v>
      </c>
      <c r="C44" s="8" t="s">
        <v>129</v>
      </c>
      <c r="D44" s="8" t="s">
        <v>31</v>
      </c>
      <c r="E44" s="8" t="s">
        <v>32</v>
      </c>
    </row>
    <row r="45" customFormat="false" ht="15" hidden="false" customHeight="false" outlineLevel="0" collapsed="false">
      <c r="A45" s="8" t="s">
        <v>127</v>
      </c>
      <c r="B45" s="9" t="s">
        <v>130</v>
      </c>
      <c r="C45" s="8" t="s">
        <v>131</v>
      </c>
      <c r="D45" s="8" t="s">
        <v>31</v>
      </c>
      <c r="E45" s="8" t="s">
        <v>32</v>
      </c>
    </row>
    <row r="46" customFormat="false" ht="29.85" hidden="false" customHeight="false" outlineLevel="0" collapsed="false">
      <c r="A46" s="8" t="s">
        <v>127</v>
      </c>
      <c r="B46" s="9" t="s">
        <v>132</v>
      </c>
      <c r="C46" s="8" t="s">
        <v>133</v>
      </c>
      <c r="D46" s="8" t="s">
        <v>31</v>
      </c>
      <c r="E46" s="8" t="s">
        <v>32</v>
      </c>
    </row>
    <row r="47" customFormat="false" ht="15" hidden="false" customHeight="false" outlineLevel="0" collapsed="false">
      <c r="A47" s="8" t="s">
        <v>134</v>
      </c>
      <c r="B47" s="9" t="s">
        <v>135</v>
      </c>
      <c r="C47" s="8" t="s">
        <v>136</v>
      </c>
      <c r="D47" s="8" t="s">
        <v>31</v>
      </c>
      <c r="E47" s="8" t="s">
        <v>32</v>
      </c>
    </row>
    <row r="48" customFormat="false" ht="15" hidden="false" customHeight="false" outlineLevel="0" collapsed="false">
      <c r="A48" s="8" t="s">
        <v>134</v>
      </c>
      <c r="B48" s="9" t="s">
        <v>137</v>
      </c>
      <c r="C48" s="8" t="s">
        <v>138</v>
      </c>
      <c r="D48" s="8" t="s">
        <v>31</v>
      </c>
      <c r="E48" s="8" t="s">
        <v>32</v>
      </c>
    </row>
    <row r="49" customFormat="false" ht="15" hidden="false" customHeight="false" outlineLevel="0" collapsed="false">
      <c r="A49" s="8" t="s">
        <v>134</v>
      </c>
      <c r="B49" s="9" t="s">
        <v>139</v>
      </c>
      <c r="C49" s="8" t="s">
        <v>54</v>
      </c>
      <c r="D49" s="8" t="s">
        <v>31</v>
      </c>
      <c r="E49" s="8" t="s">
        <v>32</v>
      </c>
    </row>
    <row r="50" customFormat="false" ht="29.85" hidden="false" customHeight="false" outlineLevel="0" collapsed="false">
      <c r="A50" s="8" t="s">
        <v>134</v>
      </c>
      <c r="B50" s="9" t="s">
        <v>140</v>
      </c>
      <c r="C50" s="8" t="s">
        <v>141</v>
      </c>
      <c r="D50" s="8" t="s">
        <v>31</v>
      </c>
      <c r="E50" s="8" t="s">
        <v>32</v>
      </c>
    </row>
    <row r="51" customFormat="false" ht="29.85" hidden="false" customHeight="false" outlineLevel="0" collapsed="false">
      <c r="A51" s="8" t="s">
        <v>134</v>
      </c>
      <c r="B51" s="9" t="s">
        <v>142</v>
      </c>
      <c r="C51" s="8" t="s">
        <v>143</v>
      </c>
      <c r="D51" s="8" t="s">
        <v>31</v>
      </c>
      <c r="E51" s="8" t="s">
        <v>32</v>
      </c>
    </row>
    <row r="52" customFormat="false" ht="23.85" hidden="false" customHeight="false" outlineLevel="0" collapsed="false">
      <c r="A52" s="8" t="s">
        <v>134</v>
      </c>
      <c r="B52" s="9" t="s">
        <v>144</v>
      </c>
      <c r="C52" s="8" t="s">
        <v>145</v>
      </c>
      <c r="D52" s="8" t="s">
        <v>31</v>
      </c>
      <c r="E52" s="8" t="s">
        <v>32</v>
      </c>
    </row>
    <row r="53" customFormat="false" ht="23.85" hidden="false" customHeight="false" outlineLevel="0" collapsed="false">
      <c r="A53" s="8" t="s">
        <v>146</v>
      </c>
      <c r="B53" s="9" t="s">
        <v>147</v>
      </c>
      <c r="C53" s="8" t="s">
        <v>148</v>
      </c>
      <c r="D53" s="8" t="s">
        <v>31</v>
      </c>
      <c r="E53" s="8" t="s">
        <v>32</v>
      </c>
    </row>
    <row r="54" customFormat="false" ht="23.85" hidden="false" customHeight="false" outlineLevel="0" collapsed="false">
      <c r="A54" s="8" t="s">
        <v>146</v>
      </c>
      <c r="B54" s="9" t="s">
        <v>149</v>
      </c>
      <c r="C54" s="8" t="s">
        <v>150</v>
      </c>
      <c r="D54" s="8" t="s">
        <v>31</v>
      </c>
      <c r="E54" s="8" t="s">
        <v>32</v>
      </c>
    </row>
    <row r="55" customFormat="false" ht="23.85" hidden="false" customHeight="false" outlineLevel="0" collapsed="false">
      <c r="A55" s="8" t="s">
        <v>146</v>
      </c>
      <c r="B55" s="9" t="s">
        <v>151</v>
      </c>
      <c r="C55" s="8" t="s">
        <v>152</v>
      </c>
      <c r="D55" s="8" t="s">
        <v>31</v>
      </c>
      <c r="E55" s="8" t="s">
        <v>32</v>
      </c>
    </row>
    <row r="56" customFormat="false" ht="23.85" hidden="false" customHeight="false" outlineLevel="0" collapsed="false">
      <c r="A56" s="8" t="s">
        <v>146</v>
      </c>
      <c r="B56" s="9" t="s">
        <v>153</v>
      </c>
      <c r="C56" s="8" t="s">
        <v>154</v>
      </c>
      <c r="D56" s="8" t="s">
        <v>31</v>
      </c>
      <c r="E56" s="8" t="s">
        <v>32</v>
      </c>
    </row>
    <row r="57" customFormat="false" ht="29.85" hidden="false" customHeight="false" outlineLevel="0" collapsed="false">
      <c r="A57" s="8" t="s">
        <v>155</v>
      </c>
      <c r="B57" s="9" t="s">
        <v>156</v>
      </c>
      <c r="C57" s="8" t="s">
        <v>157</v>
      </c>
      <c r="D57" s="8" t="s">
        <v>31</v>
      </c>
      <c r="E57" s="8" t="s">
        <v>32</v>
      </c>
    </row>
    <row r="58" customFormat="false" ht="23.85" hidden="false" customHeight="false" outlineLevel="0" collapsed="false">
      <c r="A58" s="8" t="s">
        <v>158</v>
      </c>
      <c r="B58" s="9" t="s">
        <v>159</v>
      </c>
      <c r="C58" s="8" t="s">
        <v>160</v>
      </c>
      <c r="D58" s="8" t="s">
        <v>31</v>
      </c>
      <c r="E58" s="8" t="s">
        <v>32</v>
      </c>
    </row>
    <row r="59" customFormat="false" ht="23.85" hidden="false" customHeight="false" outlineLevel="0" collapsed="false">
      <c r="A59" s="8" t="s">
        <v>158</v>
      </c>
      <c r="B59" s="9" t="s">
        <v>161</v>
      </c>
      <c r="C59" s="8" t="s">
        <v>162</v>
      </c>
      <c r="D59" s="8" t="s">
        <v>31</v>
      </c>
      <c r="E59" s="8" t="s">
        <v>32</v>
      </c>
    </row>
    <row r="60" customFormat="false" ht="23.85" hidden="false" customHeight="false" outlineLevel="0" collapsed="false">
      <c r="A60" s="8" t="s">
        <v>163</v>
      </c>
      <c r="B60" s="9" t="s">
        <v>164</v>
      </c>
      <c r="C60" s="8" t="s">
        <v>165</v>
      </c>
      <c r="D60" s="8" t="s">
        <v>31</v>
      </c>
      <c r="E60" s="8" t="s">
        <v>32</v>
      </c>
    </row>
    <row r="61" customFormat="false" ht="29.85" hidden="false" customHeight="false" outlineLevel="0" collapsed="false">
      <c r="A61" s="8" t="s">
        <v>163</v>
      </c>
      <c r="B61" s="9" t="s">
        <v>166</v>
      </c>
      <c r="C61" s="8" t="s">
        <v>167</v>
      </c>
      <c r="D61" s="8" t="s">
        <v>31</v>
      </c>
      <c r="E61" s="8" t="s">
        <v>32</v>
      </c>
    </row>
    <row r="62" customFormat="false" ht="35.05" hidden="false" customHeight="false" outlineLevel="0" collapsed="false">
      <c r="A62" s="8" t="s">
        <v>163</v>
      </c>
      <c r="B62" s="9" t="s">
        <v>168</v>
      </c>
      <c r="C62" s="8" t="s">
        <v>169</v>
      </c>
      <c r="D62" s="8" t="s">
        <v>31</v>
      </c>
      <c r="E62" s="8" t="s">
        <v>32</v>
      </c>
    </row>
    <row r="63" customFormat="false" ht="15" hidden="false" customHeight="false" outlineLevel="0" collapsed="false">
      <c r="A63" s="8" t="s">
        <v>163</v>
      </c>
      <c r="B63" s="9" t="s">
        <v>170</v>
      </c>
      <c r="C63" s="8" t="s">
        <v>171</v>
      </c>
      <c r="D63" s="8" t="s">
        <v>31</v>
      </c>
      <c r="E63" s="8" t="s">
        <v>32</v>
      </c>
    </row>
    <row r="64" customFormat="false" ht="15" hidden="false" customHeight="false" outlineLevel="0" collapsed="false">
      <c r="A64" s="8" t="s">
        <v>163</v>
      </c>
      <c r="B64" s="9" t="s">
        <v>172</v>
      </c>
      <c r="C64" s="8" t="s">
        <v>173</v>
      </c>
      <c r="D64" s="8" t="s">
        <v>31</v>
      </c>
      <c r="E64" s="8" t="s">
        <v>32</v>
      </c>
    </row>
    <row r="65" customFormat="false" ht="23.85" hidden="false" customHeight="false" outlineLevel="0" collapsed="false">
      <c r="A65" s="8" t="s">
        <v>163</v>
      </c>
      <c r="B65" s="9" t="s">
        <v>174</v>
      </c>
      <c r="C65" s="8" t="s">
        <v>175</v>
      </c>
      <c r="D65" s="8" t="s">
        <v>31</v>
      </c>
      <c r="E65" s="8" t="s">
        <v>32</v>
      </c>
    </row>
    <row r="66" customFormat="false" ht="23.85" hidden="false" customHeight="false" outlineLevel="0" collapsed="false">
      <c r="A66" s="8" t="s">
        <v>176</v>
      </c>
      <c r="B66" s="9" t="s">
        <v>177</v>
      </c>
      <c r="C66" s="8" t="s">
        <v>178</v>
      </c>
      <c r="D66" s="8" t="s">
        <v>31</v>
      </c>
      <c r="E66" s="8" t="s">
        <v>32</v>
      </c>
    </row>
    <row r="67" customFormat="false" ht="26.85" hidden="false" customHeight="false" outlineLevel="0" collapsed="false">
      <c r="A67" s="8" t="s">
        <v>176</v>
      </c>
      <c r="B67" s="9" t="s">
        <v>179</v>
      </c>
      <c r="C67" s="8" t="s">
        <v>180</v>
      </c>
      <c r="D67" s="8" t="s">
        <v>31</v>
      </c>
      <c r="E67" s="8" t="s">
        <v>32</v>
      </c>
    </row>
    <row r="68" customFormat="false" ht="23.85" hidden="false" customHeight="false" outlineLevel="0" collapsed="false">
      <c r="A68" s="8" t="s">
        <v>176</v>
      </c>
      <c r="B68" s="9" t="s">
        <v>181</v>
      </c>
      <c r="C68" s="8" t="s">
        <v>182</v>
      </c>
      <c r="D68" s="8" t="s">
        <v>31</v>
      </c>
      <c r="E68" s="8" t="s">
        <v>32</v>
      </c>
    </row>
    <row r="69" customFormat="false" ht="29.85" hidden="false" customHeight="false" outlineLevel="0" collapsed="false">
      <c r="A69" s="8" t="s">
        <v>176</v>
      </c>
      <c r="B69" s="9" t="s">
        <v>183</v>
      </c>
      <c r="C69" s="8" t="s">
        <v>184</v>
      </c>
      <c r="D69" s="8" t="s">
        <v>31</v>
      </c>
      <c r="E69" s="8" t="s">
        <v>32</v>
      </c>
    </row>
    <row r="70" customFormat="false" ht="23.85" hidden="false" customHeight="false" outlineLevel="0" collapsed="false">
      <c r="A70" s="8" t="s">
        <v>176</v>
      </c>
      <c r="B70" s="9" t="s">
        <v>185</v>
      </c>
      <c r="C70" s="8" t="s">
        <v>186</v>
      </c>
      <c r="D70" s="8" t="s">
        <v>31</v>
      </c>
      <c r="E70" s="8" t="s">
        <v>32</v>
      </c>
    </row>
    <row r="71" customFormat="false" ht="15" hidden="false" customHeight="false" outlineLevel="0" collapsed="false">
      <c r="A71" s="8" t="s">
        <v>187</v>
      </c>
      <c r="B71" s="9" t="s">
        <v>188</v>
      </c>
      <c r="C71" s="8" t="s">
        <v>189</v>
      </c>
      <c r="D71" s="8" t="s">
        <v>31</v>
      </c>
      <c r="E71" s="8" t="s">
        <v>32</v>
      </c>
    </row>
    <row r="72" customFormat="false" ht="15" hidden="false" customHeight="false" outlineLevel="0" collapsed="false">
      <c r="A72" s="8" t="s">
        <v>187</v>
      </c>
      <c r="B72" s="9" t="s">
        <v>190</v>
      </c>
      <c r="C72" s="8" t="s">
        <v>191</v>
      </c>
      <c r="D72" s="8" t="s">
        <v>31</v>
      </c>
      <c r="E72" s="8" t="s">
        <v>32</v>
      </c>
    </row>
    <row r="73" customFormat="false" ht="23.85" hidden="false" customHeight="false" outlineLevel="0" collapsed="false">
      <c r="A73" s="8" t="s">
        <v>187</v>
      </c>
      <c r="B73" s="9" t="s">
        <v>192</v>
      </c>
      <c r="C73" s="8" t="s">
        <v>193</v>
      </c>
      <c r="D73" s="8" t="s">
        <v>31</v>
      </c>
      <c r="E73" s="8" t="s">
        <v>32</v>
      </c>
    </row>
    <row r="74" customFormat="false" ht="15" hidden="false" customHeight="false" outlineLevel="0" collapsed="false">
      <c r="A74" s="8" t="s">
        <v>187</v>
      </c>
      <c r="B74" s="9" t="s">
        <v>194</v>
      </c>
      <c r="C74" s="8" t="s">
        <v>195</v>
      </c>
      <c r="D74" s="8" t="s">
        <v>31</v>
      </c>
      <c r="E74" s="8" t="s">
        <v>32</v>
      </c>
    </row>
    <row r="75" customFormat="false" ht="15" hidden="false" customHeight="false" outlineLevel="0" collapsed="false">
      <c r="A75" s="8" t="s">
        <v>196</v>
      </c>
      <c r="B75" s="9" t="s">
        <v>197</v>
      </c>
      <c r="C75" s="8" t="s">
        <v>198</v>
      </c>
      <c r="D75" s="8" t="s">
        <v>31</v>
      </c>
      <c r="E75" s="8" t="s">
        <v>32</v>
      </c>
    </row>
    <row r="76" customFormat="false" ht="86.55" hidden="false" customHeight="false" outlineLevel="0" collapsed="false">
      <c r="A76" s="8" t="s">
        <v>196</v>
      </c>
      <c r="B76" s="9" t="s">
        <v>199</v>
      </c>
      <c r="C76" s="8" t="s">
        <v>200</v>
      </c>
      <c r="D76" s="8" t="s">
        <v>31</v>
      </c>
      <c r="E76" s="8" t="s">
        <v>32</v>
      </c>
    </row>
    <row r="77" customFormat="false" ht="29.85" hidden="false" customHeight="false" outlineLevel="0" collapsed="false">
      <c r="A77" s="8" t="s">
        <v>196</v>
      </c>
      <c r="B77" s="9" t="s">
        <v>201</v>
      </c>
      <c r="C77" s="8" t="s">
        <v>202</v>
      </c>
      <c r="D77" s="8" t="s">
        <v>31</v>
      </c>
      <c r="E77" s="8" t="s">
        <v>32</v>
      </c>
    </row>
    <row r="78" customFormat="false" ht="29.85" hidden="false" customHeight="false" outlineLevel="0" collapsed="false">
      <c r="A78" s="8" t="s">
        <v>203</v>
      </c>
      <c r="B78" s="9" t="s">
        <v>204</v>
      </c>
      <c r="C78" s="8" t="s">
        <v>205</v>
      </c>
      <c r="D78" s="8" t="s">
        <v>31</v>
      </c>
      <c r="E78" s="8" t="s">
        <v>32</v>
      </c>
    </row>
    <row r="79" customFormat="false" ht="58.2" hidden="false" customHeight="false" outlineLevel="0" collapsed="false">
      <c r="A79" s="8" t="s">
        <v>206</v>
      </c>
      <c r="B79" s="9" t="s">
        <v>29</v>
      </c>
      <c r="C79" s="8" t="s">
        <v>30</v>
      </c>
      <c r="D79" s="8" t="s">
        <v>31</v>
      </c>
      <c r="E79" s="8" t="s">
        <v>32</v>
      </c>
    </row>
    <row r="80" customFormat="false" ht="114.9" hidden="false" customHeight="false" outlineLevel="0" collapsed="false">
      <c r="A80" s="8" t="s">
        <v>206</v>
      </c>
      <c r="B80" s="9" t="s">
        <v>207</v>
      </c>
      <c r="C80" s="8" t="s">
        <v>67</v>
      </c>
      <c r="D80" s="8" t="s">
        <v>31</v>
      </c>
      <c r="E80" s="8" t="s">
        <v>32</v>
      </c>
    </row>
    <row r="81" customFormat="false" ht="23.85" hidden="false" customHeight="false" outlineLevel="0" collapsed="false">
      <c r="A81" s="8" t="s">
        <v>208</v>
      </c>
      <c r="B81" s="9" t="s">
        <v>209</v>
      </c>
      <c r="C81" s="8" t="s">
        <v>210</v>
      </c>
      <c r="D81" s="8" t="s">
        <v>31</v>
      </c>
      <c r="E81" s="8" t="s">
        <v>32</v>
      </c>
    </row>
    <row r="82" customFormat="false" ht="15" hidden="false" customHeight="false" outlineLevel="0" collapsed="false">
      <c r="A82" s="9" t="s">
        <v>211</v>
      </c>
      <c r="B82" s="9" t="s">
        <v>212</v>
      </c>
      <c r="C82" s="8" t="s">
        <v>213</v>
      </c>
      <c r="D82" s="8" t="s">
        <v>31</v>
      </c>
      <c r="E82" s="8" t="s">
        <v>32</v>
      </c>
    </row>
    <row r="83" customFormat="false" ht="15" hidden="false" customHeight="false" outlineLevel="0" collapsed="false">
      <c r="A83" s="9" t="s">
        <v>214</v>
      </c>
      <c r="B83" s="9" t="s">
        <v>215</v>
      </c>
      <c r="C83" s="8" t="s">
        <v>216</v>
      </c>
      <c r="D83" s="8" t="s">
        <v>31</v>
      </c>
      <c r="E83" s="8" t="s">
        <v>32</v>
      </c>
    </row>
    <row r="84" customFormat="false" ht="15" hidden="false" customHeight="false" outlineLevel="0" collapsed="false">
      <c r="A84" s="8" t="s">
        <v>217</v>
      </c>
      <c r="B84" s="9" t="s">
        <v>218</v>
      </c>
      <c r="C84" s="8" t="s">
        <v>219</v>
      </c>
      <c r="D84" s="8" t="s">
        <v>31</v>
      </c>
      <c r="E84" s="8" t="s">
        <v>32</v>
      </c>
    </row>
    <row r="85" customFormat="false" ht="15" hidden="false" customHeight="false" outlineLevel="0" collapsed="false">
      <c r="A85" s="10" t="s">
        <v>220</v>
      </c>
      <c r="B85" s="11" t="s">
        <v>221</v>
      </c>
      <c r="C85" s="10" t="s">
        <v>222</v>
      </c>
      <c r="D85" s="10" t="s">
        <v>31</v>
      </c>
      <c r="E85" s="10" t="s">
        <v>32</v>
      </c>
    </row>
    <row r="86" customFormat="false" ht="15" hidden="false" customHeight="false" outlineLevel="0" collapsed="false">
      <c r="A86" s="8" t="s">
        <v>223</v>
      </c>
      <c r="B86" s="9" t="s">
        <v>224</v>
      </c>
      <c r="C86" s="8" t="s">
        <v>225</v>
      </c>
      <c r="D86" s="8" t="s">
        <v>31</v>
      </c>
      <c r="E86" s="8" t="s">
        <v>32</v>
      </c>
    </row>
    <row r="87" customFormat="false" ht="15" hidden="false" customHeight="false" outlineLevel="0" collapsed="false">
      <c r="A87" s="8" t="s">
        <v>226</v>
      </c>
      <c r="B87" s="9" t="s">
        <v>227</v>
      </c>
      <c r="C87" s="8" t="s">
        <v>228</v>
      </c>
      <c r="D87" s="8" t="s">
        <v>31</v>
      </c>
      <c r="E87" s="8" t="s">
        <v>32</v>
      </c>
    </row>
    <row r="88" customFormat="false" ht="15" hidden="false" customHeight="false" outlineLevel="0" collapsed="false">
      <c r="A88" s="10" t="s">
        <v>229</v>
      </c>
      <c r="B88" s="11" t="s">
        <v>230</v>
      </c>
      <c r="C88" s="10" t="s">
        <v>231</v>
      </c>
      <c r="D88" s="10" t="s">
        <v>31</v>
      </c>
      <c r="E88" s="10" t="s">
        <v>32</v>
      </c>
    </row>
    <row r="89" customFormat="false" ht="26.85" hidden="false" customHeight="false" outlineLevel="0" collapsed="false">
      <c r="A89" s="8" t="s">
        <v>232</v>
      </c>
      <c r="B89" s="9" t="s">
        <v>233</v>
      </c>
      <c r="C89" s="8" t="s">
        <v>234</v>
      </c>
      <c r="D89" s="8" t="s">
        <v>31</v>
      </c>
      <c r="E89" s="8" t="s">
        <v>32</v>
      </c>
    </row>
    <row r="90" customFormat="false" ht="29.85" hidden="false" customHeight="false" outlineLevel="0" collapsed="false">
      <c r="A90" s="8" t="s">
        <v>235</v>
      </c>
      <c r="B90" s="9" t="s">
        <v>236</v>
      </c>
      <c r="C90" s="8" t="s">
        <v>237</v>
      </c>
      <c r="D90" s="8" t="s">
        <v>31</v>
      </c>
      <c r="E90" s="8" t="s">
        <v>32</v>
      </c>
    </row>
    <row r="91" customFormat="false" ht="26.85" hidden="false" customHeight="false" outlineLevel="0" collapsed="false">
      <c r="A91" s="8" t="s">
        <v>238</v>
      </c>
      <c r="B91" s="9" t="s">
        <v>239</v>
      </c>
      <c r="C91" s="8" t="s">
        <v>240</v>
      </c>
      <c r="D91" s="8" t="s">
        <v>31</v>
      </c>
      <c r="E91" s="8" t="s">
        <v>32</v>
      </c>
    </row>
    <row r="92" customFormat="false" ht="26.85" hidden="false" customHeight="false" outlineLevel="0" collapsed="false">
      <c r="A92" s="8" t="s">
        <v>241</v>
      </c>
      <c r="B92" s="9" t="s">
        <v>242</v>
      </c>
      <c r="C92" s="8" t="s">
        <v>243</v>
      </c>
      <c r="D92" s="8" t="s">
        <v>31</v>
      </c>
      <c r="E92" s="8" t="s">
        <v>32</v>
      </c>
    </row>
    <row r="93" customFormat="false" ht="26.85" hidden="false" customHeight="false" outlineLevel="0" collapsed="false">
      <c r="A93" s="8" t="s">
        <v>244</v>
      </c>
      <c r="B93" s="9" t="s">
        <v>245</v>
      </c>
      <c r="C93" s="8" t="s">
        <v>246</v>
      </c>
      <c r="D93" s="8" t="s">
        <v>31</v>
      </c>
      <c r="E93" s="8" t="s">
        <v>32</v>
      </c>
    </row>
    <row r="94" customFormat="false" ht="26.85" hidden="false" customHeight="false" outlineLevel="0" collapsed="false">
      <c r="A94" s="8" t="s">
        <v>247</v>
      </c>
      <c r="B94" s="9" t="s">
        <v>248</v>
      </c>
      <c r="C94" s="8" t="s">
        <v>249</v>
      </c>
      <c r="D94" s="8" t="s">
        <v>31</v>
      </c>
      <c r="E94" s="8" t="s">
        <v>32</v>
      </c>
    </row>
    <row r="95" customFormat="false" ht="26.85" hidden="false" customHeight="false" outlineLevel="0" collapsed="false">
      <c r="A95" s="8" t="s">
        <v>250</v>
      </c>
      <c r="B95" s="9" t="s">
        <v>251</v>
      </c>
      <c r="C95" s="8" t="s">
        <v>252</v>
      </c>
      <c r="D95" s="8" t="s">
        <v>31</v>
      </c>
      <c r="E95" s="8" t="s">
        <v>32</v>
      </c>
    </row>
    <row r="96" customFormat="false" ht="26.85" hidden="false" customHeight="false" outlineLevel="0" collapsed="false">
      <c r="A96" s="8" t="s">
        <v>253</v>
      </c>
      <c r="B96" s="9" t="s">
        <v>254</v>
      </c>
      <c r="C96" s="8" t="s">
        <v>255</v>
      </c>
      <c r="D96" s="8" t="s">
        <v>31</v>
      </c>
      <c r="E96" s="8" t="s">
        <v>32</v>
      </c>
    </row>
    <row r="97" customFormat="false" ht="26.85" hidden="false" customHeight="false" outlineLevel="0" collapsed="false">
      <c r="A97" s="8" t="s">
        <v>256</v>
      </c>
      <c r="B97" s="9" t="s">
        <v>257</v>
      </c>
      <c r="C97" s="8" t="s">
        <v>258</v>
      </c>
      <c r="D97" s="8" t="s">
        <v>31</v>
      </c>
      <c r="E97" s="8" t="s">
        <v>32</v>
      </c>
    </row>
    <row r="98" customFormat="false" ht="26.85" hidden="false" customHeight="false" outlineLevel="0" collapsed="false">
      <c r="A98" s="8" t="s">
        <v>259</v>
      </c>
      <c r="B98" s="9" t="s">
        <v>260</v>
      </c>
      <c r="C98" s="8" t="s">
        <v>261</v>
      </c>
      <c r="D98" s="8" t="s">
        <v>31</v>
      </c>
      <c r="E98" s="8" t="s">
        <v>32</v>
      </c>
    </row>
    <row r="99" customFormat="false" ht="26.85" hidden="false" customHeight="false" outlineLevel="0" collapsed="false">
      <c r="A99" s="8" t="s">
        <v>262</v>
      </c>
      <c r="B99" s="9" t="s">
        <v>263</v>
      </c>
      <c r="C99" s="8" t="s">
        <v>264</v>
      </c>
      <c r="D99" s="8" t="s">
        <v>31</v>
      </c>
      <c r="E99" s="8" t="s">
        <v>32</v>
      </c>
    </row>
    <row r="100" customFormat="false" ht="26.85" hidden="false" customHeight="false" outlineLevel="0" collapsed="false">
      <c r="A100" s="8" t="s">
        <v>265</v>
      </c>
      <c r="B100" s="9" t="s">
        <v>266</v>
      </c>
      <c r="C100" s="8" t="s">
        <v>267</v>
      </c>
      <c r="D100" s="8" t="s">
        <v>31</v>
      </c>
      <c r="E100" s="8" t="s">
        <v>32</v>
      </c>
    </row>
    <row r="101" customFormat="false" ht="26.85" hidden="false" customHeight="false" outlineLevel="0" collapsed="false">
      <c r="A101" s="8" t="s">
        <v>268</v>
      </c>
      <c r="B101" s="9" t="s">
        <v>269</v>
      </c>
      <c r="C101" s="8" t="s">
        <v>270</v>
      </c>
      <c r="D101" s="8" t="s">
        <v>31</v>
      </c>
      <c r="E101" s="8" t="s">
        <v>32</v>
      </c>
    </row>
    <row r="102" customFormat="false" ht="26.85" hidden="false" customHeight="false" outlineLevel="0" collapsed="false">
      <c r="A102" s="8" t="s">
        <v>271</v>
      </c>
      <c r="B102" s="9" t="s">
        <v>272</v>
      </c>
      <c r="C102" s="8" t="s">
        <v>273</v>
      </c>
      <c r="D102" s="8" t="s">
        <v>31</v>
      </c>
      <c r="E102" s="8" t="s">
        <v>32</v>
      </c>
    </row>
    <row r="103" customFormat="false" ht="15" hidden="false" customHeight="false" outlineLevel="0" collapsed="false">
      <c r="A103" s="8" t="s">
        <v>274</v>
      </c>
      <c r="B103" s="9" t="s">
        <v>275</v>
      </c>
      <c r="C103" s="8" t="s">
        <v>276</v>
      </c>
      <c r="D103" s="8" t="s">
        <v>31</v>
      </c>
      <c r="E103" s="8" t="s">
        <v>32</v>
      </c>
    </row>
    <row r="104" customFormat="false" ht="44" hidden="false" customHeight="false" outlineLevel="0" collapsed="false">
      <c r="A104" s="8" t="s">
        <v>277</v>
      </c>
      <c r="B104" s="9" t="s">
        <v>278</v>
      </c>
      <c r="C104" s="8" t="s">
        <v>279</v>
      </c>
      <c r="D104" s="8" t="s">
        <v>31</v>
      </c>
      <c r="E104" s="8" t="s">
        <v>32</v>
      </c>
    </row>
    <row r="105" customFormat="false" ht="44" hidden="false" customHeight="false" outlineLevel="0" collapsed="false">
      <c r="A105" s="8" t="s">
        <v>280</v>
      </c>
      <c r="B105" s="9" t="s">
        <v>281</v>
      </c>
      <c r="C105" s="8" t="s">
        <v>282</v>
      </c>
      <c r="D105" s="8" t="s">
        <v>31</v>
      </c>
      <c r="E105" s="8" t="s">
        <v>32</v>
      </c>
    </row>
    <row r="106" customFormat="false" ht="44" hidden="false" customHeight="false" outlineLevel="0" collapsed="false">
      <c r="A106" s="8" t="s">
        <v>283</v>
      </c>
      <c r="B106" s="9" t="s">
        <v>284</v>
      </c>
      <c r="C106" s="8" t="s">
        <v>285</v>
      </c>
      <c r="D106" s="8" t="s">
        <v>31</v>
      </c>
      <c r="E106" s="8" t="s">
        <v>32</v>
      </c>
    </row>
    <row r="107" customFormat="false" ht="15" hidden="false" customHeight="false" outlineLevel="0" collapsed="false">
      <c r="A107" s="8" t="s">
        <v>286</v>
      </c>
      <c r="B107" s="9" t="s">
        <v>287</v>
      </c>
      <c r="C107" s="8" t="s">
        <v>288</v>
      </c>
      <c r="D107" s="8" t="s">
        <v>31</v>
      </c>
      <c r="E107" s="8" t="s">
        <v>32</v>
      </c>
    </row>
    <row r="108" customFormat="false" ht="15" hidden="false" customHeight="false" outlineLevel="0" collapsed="false">
      <c r="A108" s="8" t="s">
        <v>289</v>
      </c>
      <c r="B108" s="9" t="s">
        <v>290</v>
      </c>
      <c r="C108" s="8" t="s">
        <v>291</v>
      </c>
      <c r="D108" s="8" t="s">
        <v>31</v>
      </c>
      <c r="E108" s="8" t="s">
        <v>32</v>
      </c>
    </row>
    <row r="109" customFormat="false" ht="15" hidden="false" customHeight="false" outlineLevel="0" collapsed="false">
      <c r="A109" s="8" t="s">
        <v>292</v>
      </c>
      <c r="B109" s="9" t="s">
        <v>293</v>
      </c>
      <c r="C109" s="8" t="s">
        <v>294</v>
      </c>
      <c r="D109" s="8" t="s">
        <v>31</v>
      </c>
      <c r="E109" s="8" t="s">
        <v>32</v>
      </c>
    </row>
    <row r="110" customFormat="false" ht="26.85" hidden="false" customHeight="false" outlineLevel="0" collapsed="false">
      <c r="A110" s="8" t="s">
        <v>295</v>
      </c>
      <c r="B110" s="9" t="s">
        <v>296</v>
      </c>
      <c r="C110" s="8" t="s">
        <v>297</v>
      </c>
      <c r="D110" s="8" t="s">
        <v>31</v>
      </c>
      <c r="E110" s="8" t="s">
        <v>32</v>
      </c>
    </row>
    <row r="111" customFormat="false" ht="26.85" hidden="false" customHeight="false" outlineLevel="0" collapsed="false">
      <c r="A111" s="8" t="s">
        <v>298</v>
      </c>
      <c r="B111" s="9" t="s">
        <v>299</v>
      </c>
      <c r="C111" s="8" t="s">
        <v>300</v>
      </c>
      <c r="D111" s="8" t="s">
        <v>31</v>
      </c>
      <c r="E111" s="8" t="s">
        <v>32</v>
      </c>
    </row>
    <row r="112" customFormat="false" ht="26.85" hidden="false" customHeight="false" outlineLevel="0" collapsed="false">
      <c r="A112" s="8" t="s">
        <v>301</v>
      </c>
      <c r="B112" s="9" t="s">
        <v>302</v>
      </c>
      <c r="C112" s="8" t="s">
        <v>303</v>
      </c>
      <c r="D112" s="8" t="s">
        <v>31</v>
      </c>
      <c r="E112" s="8" t="s">
        <v>32</v>
      </c>
    </row>
    <row r="113" customFormat="false" ht="26.85" hidden="false" customHeight="false" outlineLevel="0" collapsed="false">
      <c r="A113" s="8" t="s">
        <v>304</v>
      </c>
      <c r="B113" s="9" t="s">
        <v>305</v>
      </c>
      <c r="C113" s="8" t="s">
        <v>306</v>
      </c>
      <c r="D113" s="8" t="s">
        <v>31</v>
      </c>
      <c r="E113" s="8" t="s">
        <v>32</v>
      </c>
    </row>
    <row r="114" customFormat="false" ht="26.85" hidden="false" customHeight="false" outlineLevel="0" collapsed="false">
      <c r="A114" s="8" t="s">
        <v>307</v>
      </c>
      <c r="B114" s="9" t="s">
        <v>308</v>
      </c>
      <c r="C114" s="8" t="s">
        <v>309</v>
      </c>
      <c r="D114" s="8" t="s">
        <v>31</v>
      </c>
      <c r="E114" s="8" t="s">
        <v>32</v>
      </c>
    </row>
    <row r="115" customFormat="false" ht="26.85" hidden="false" customHeight="false" outlineLevel="0" collapsed="false">
      <c r="A115" s="8" t="s">
        <v>310</v>
      </c>
      <c r="B115" s="9" t="s">
        <v>311</v>
      </c>
      <c r="C115" s="8" t="s">
        <v>312</v>
      </c>
      <c r="D115" s="8" t="s">
        <v>31</v>
      </c>
      <c r="E115" s="8" t="s">
        <v>32</v>
      </c>
    </row>
    <row r="116" customFormat="false" ht="26.85" hidden="false" customHeight="false" outlineLevel="0" collapsed="false">
      <c r="A116" s="8" t="s">
        <v>313</v>
      </c>
      <c r="B116" s="9" t="s">
        <v>314</v>
      </c>
      <c r="C116" s="8" t="s">
        <v>315</v>
      </c>
      <c r="D116" s="8" t="s">
        <v>31</v>
      </c>
      <c r="E116" s="8" t="s">
        <v>32</v>
      </c>
    </row>
    <row r="117" customFormat="false" ht="26.85" hidden="false" customHeight="false" outlineLevel="0" collapsed="false">
      <c r="A117" s="8" t="s">
        <v>316</v>
      </c>
      <c r="B117" s="9" t="s">
        <v>317</v>
      </c>
      <c r="C117" s="8" t="s">
        <v>318</v>
      </c>
      <c r="D117" s="8" t="s">
        <v>31</v>
      </c>
      <c r="E117" s="8" t="s">
        <v>32</v>
      </c>
    </row>
    <row r="118" customFormat="false" ht="29.85" hidden="false" customHeight="false" outlineLevel="0" collapsed="false">
      <c r="A118" s="8" t="s">
        <v>319</v>
      </c>
      <c r="B118" s="9" t="s">
        <v>320</v>
      </c>
      <c r="C118" s="8" t="s">
        <v>321</v>
      </c>
      <c r="D118" s="8" t="s">
        <v>31</v>
      </c>
      <c r="E118" s="8" t="s">
        <v>32</v>
      </c>
    </row>
    <row r="119" customFormat="false" ht="26.85" hidden="false" customHeight="false" outlineLevel="0" collapsed="false">
      <c r="A119" s="8" t="s">
        <v>322</v>
      </c>
      <c r="B119" s="9" t="s">
        <v>323</v>
      </c>
      <c r="C119" s="8" t="s">
        <v>324</v>
      </c>
      <c r="D119" s="8" t="s">
        <v>31</v>
      </c>
      <c r="E119" s="8" t="s">
        <v>32</v>
      </c>
    </row>
    <row r="120" customFormat="false" ht="29.85" hidden="false" customHeight="false" outlineLevel="0" collapsed="false">
      <c r="A120" s="8" t="s">
        <v>325</v>
      </c>
      <c r="B120" s="9" t="s">
        <v>326</v>
      </c>
      <c r="C120" s="8" t="s">
        <v>327</v>
      </c>
      <c r="D120" s="8" t="s">
        <v>31</v>
      </c>
      <c r="E120" s="8" t="s">
        <v>32</v>
      </c>
    </row>
    <row r="121" customFormat="false" ht="29.85" hidden="false" customHeight="false" outlineLevel="0" collapsed="false">
      <c r="A121" s="8" t="s">
        <v>328</v>
      </c>
      <c r="B121" s="9" t="s">
        <v>329</v>
      </c>
      <c r="C121" s="8" t="s">
        <v>330</v>
      </c>
      <c r="D121" s="8" t="s">
        <v>31</v>
      </c>
      <c r="E121" s="8" t="s">
        <v>32</v>
      </c>
    </row>
    <row r="122" customFormat="false" ht="29.85" hidden="false" customHeight="false" outlineLevel="0" collapsed="false">
      <c r="A122" s="8" t="s">
        <v>331</v>
      </c>
      <c r="B122" s="9" t="s">
        <v>332</v>
      </c>
      <c r="C122" s="8" t="s">
        <v>333</v>
      </c>
      <c r="D122" s="8" t="s">
        <v>31</v>
      </c>
      <c r="E122" s="8" t="s">
        <v>32</v>
      </c>
    </row>
    <row r="123" customFormat="false" ht="26.85" hidden="false" customHeight="false" outlineLevel="0" collapsed="false">
      <c r="A123" s="8" t="s">
        <v>334</v>
      </c>
      <c r="B123" s="9" t="s">
        <v>335</v>
      </c>
      <c r="C123" s="8" t="s">
        <v>336</v>
      </c>
      <c r="D123" s="8" t="s">
        <v>31</v>
      </c>
      <c r="E123" s="8" t="s">
        <v>32</v>
      </c>
    </row>
    <row r="124" customFormat="false" ht="26.85" hidden="false" customHeight="false" outlineLevel="0" collapsed="false">
      <c r="A124" s="8" t="s">
        <v>337</v>
      </c>
      <c r="B124" s="9" t="s">
        <v>338</v>
      </c>
      <c r="C124" s="8" t="s">
        <v>339</v>
      </c>
      <c r="D124" s="8" t="s">
        <v>31</v>
      </c>
      <c r="E124" s="8" t="s">
        <v>32</v>
      </c>
    </row>
    <row r="125" customFormat="false" ht="15" hidden="false" customHeight="false" outlineLevel="0" collapsed="false">
      <c r="A125" s="8" t="s">
        <v>340</v>
      </c>
      <c r="B125" s="9" t="s">
        <v>341</v>
      </c>
      <c r="C125" s="8" t="s">
        <v>342</v>
      </c>
      <c r="D125" s="8" t="s">
        <v>31</v>
      </c>
      <c r="E125" s="8" t="s">
        <v>32</v>
      </c>
    </row>
    <row r="126" customFormat="false" ht="29.85" hidden="false" customHeight="false" outlineLevel="0" collapsed="false">
      <c r="A126" s="8" t="s">
        <v>343</v>
      </c>
      <c r="B126" s="9" t="s">
        <v>344</v>
      </c>
      <c r="C126" s="8" t="s">
        <v>345</v>
      </c>
      <c r="D126" s="8" t="s">
        <v>31</v>
      </c>
      <c r="E126" s="8" t="s">
        <v>32</v>
      </c>
    </row>
    <row r="127" customFormat="false" ht="44" hidden="false" customHeight="false" outlineLevel="0" collapsed="false">
      <c r="A127" s="8" t="s">
        <v>346</v>
      </c>
      <c r="B127" s="9" t="s">
        <v>347</v>
      </c>
      <c r="C127" s="8" t="s">
        <v>348</v>
      </c>
      <c r="D127" s="8" t="s">
        <v>31</v>
      </c>
      <c r="E127" s="8" t="s">
        <v>32</v>
      </c>
    </row>
    <row r="128" customFormat="false" ht="44" hidden="false" customHeight="false" outlineLevel="0" collapsed="false">
      <c r="A128" s="8" t="s">
        <v>349</v>
      </c>
      <c r="B128" s="9" t="s">
        <v>350</v>
      </c>
      <c r="C128" s="8" t="s">
        <v>351</v>
      </c>
      <c r="D128" s="8" t="s">
        <v>31</v>
      </c>
      <c r="E128" s="8" t="s">
        <v>32</v>
      </c>
    </row>
    <row r="129" customFormat="false" ht="44" hidden="false" customHeight="false" outlineLevel="0" collapsed="false">
      <c r="A129" s="8" t="s">
        <v>352</v>
      </c>
      <c r="B129" s="9" t="s">
        <v>353</v>
      </c>
      <c r="C129" s="8" t="s">
        <v>354</v>
      </c>
      <c r="D129" s="8" t="s">
        <v>355</v>
      </c>
      <c r="E129" s="8" t="s">
        <v>32</v>
      </c>
    </row>
    <row r="130" customFormat="false" ht="15" hidden="false" customHeight="false" outlineLevel="0" collapsed="false">
      <c r="A130" s="8" t="s">
        <v>356</v>
      </c>
      <c r="B130" s="9" t="s">
        <v>357</v>
      </c>
      <c r="C130" s="8" t="s">
        <v>358</v>
      </c>
      <c r="D130" s="8" t="s">
        <v>31</v>
      </c>
      <c r="E130" s="8" t="s">
        <v>32</v>
      </c>
    </row>
    <row r="131" customFormat="false" ht="41" hidden="false" customHeight="false" outlineLevel="0" collapsed="false">
      <c r="A131" s="8" t="s">
        <v>359</v>
      </c>
      <c r="B131" s="9" t="s">
        <v>360</v>
      </c>
      <c r="C131" s="8" t="s">
        <v>361</v>
      </c>
      <c r="D131" s="8" t="s">
        <v>31</v>
      </c>
      <c r="E131" s="8" t="s">
        <v>32</v>
      </c>
    </row>
    <row r="132" customFormat="false" ht="29.85" hidden="false" customHeight="false" outlineLevel="0" collapsed="false">
      <c r="A132" s="8" t="s">
        <v>362</v>
      </c>
      <c r="B132" s="9" t="s">
        <v>363</v>
      </c>
      <c r="C132" s="8" t="s">
        <v>364</v>
      </c>
      <c r="D132" s="8" t="s">
        <v>31</v>
      </c>
      <c r="E132" s="8" t="s">
        <v>32</v>
      </c>
    </row>
    <row r="133" customFormat="false" ht="15" hidden="false" customHeight="false" outlineLevel="0" collapsed="false">
      <c r="A133" s="10" t="s">
        <v>365</v>
      </c>
      <c r="B133" s="11" t="s">
        <v>366</v>
      </c>
      <c r="C133" s="10" t="s">
        <v>367</v>
      </c>
      <c r="D133" s="10" t="s">
        <v>31</v>
      </c>
      <c r="E133" s="10" t="s">
        <v>32</v>
      </c>
    </row>
    <row r="134" customFormat="false" ht="29.85" hidden="false" customHeight="false" outlineLevel="0" collapsed="false">
      <c r="A134" s="8" t="s">
        <v>368</v>
      </c>
      <c r="B134" s="9" t="s">
        <v>369</v>
      </c>
      <c r="C134" s="8" t="s">
        <v>370</v>
      </c>
      <c r="D134" s="8" t="s">
        <v>31</v>
      </c>
      <c r="E134" s="8" t="s">
        <v>32</v>
      </c>
    </row>
    <row r="135" customFormat="false" ht="15" hidden="false" customHeight="false" outlineLevel="0" collapsed="false">
      <c r="A135" s="10" t="s">
        <v>371</v>
      </c>
      <c r="B135" s="11" t="s">
        <v>372</v>
      </c>
      <c r="C135" s="10" t="s">
        <v>373</v>
      </c>
      <c r="D135" s="10" t="s">
        <v>31</v>
      </c>
      <c r="E135" s="10" t="s">
        <v>32</v>
      </c>
    </row>
    <row r="136" customFormat="false" ht="15" hidden="false" customHeight="false" outlineLevel="0" collapsed="false">
      <c r="A136" s="10" t="s">
        <v>374</v>
      </c>
      <c r="B136" s="11" t="s">
        <v>372</v>
      </c>
      <c r="C136" s="10" t="s">
        <v>375</v>
      </c>
      <c r="D136" s="10" t="s">
        <v>31</v>
      </c>
      <c r="E136" s="10" t="s">
        <v>32</v>
      </c>
    </row>
    <row r="137" customFormat="false" ht="23.85" hidden="false" customHeight="false" outlineLevel="0" collapsed="false">
      <c r="A137" s="8" t="s">
        <v>376</v>
      </c>
      <c r="B137" s="9" t="s">
        <v>377</v>
      </c>
      <c r="C137" s="8" t="s">
        <v>378</v>
      </c>
      <c r="D137" s="8" t="s">
        <v>31</v>
      </c>
      <c r="E137" s="8" t="s">
        <v>32</v>
      </c>
    </row>
    <row r="138" customFormat="false" ht="23.85" hidden="false" customHeight="false" outlineLevel="0" collapsed="false">
      <c r="A138" s="8" t="s">
        <v>379</v>
      </c>
      <c r="B138" s="9" t="s">
        <v>380</v>
      </c>
      <c r="C138" s="8" t="s">
        <v>381</v>
      </c>
      <c r="D138" s="8" t="s">
        <v>31</v>
      </c>
      <c r="E138" s="8" t="s">
        <v>32</v>
      </c>
    </row>
    <row r="139" customFormat="false" ht="35.05" hidden="false" customHeight="false" outlineLevel="0" collapsed="false">
      <c r="A139" s="8" t="s">
        <v>382</v>
      </c>
      <c r="B139" s="9" t="s">
        <v>383</v>
      </c>
      <c r="C139" s="8" t="s">
        <v>384</v>
      </c>
      <c r="D139" s="8" t="s">
        <v>31</v>
      </c>
      <c r="E139" s="8" t="s">
        <v>32</v>
      </c>
    </row>
    <row r="140" customFormat="false" ht="23.85" hidden="false" customHeight="false" outlineLevel="0" collapsed="false">
      <c r="A140" s="8" t="s">
        <v>385</v>
      </c>
      <c r="B140" s="9" t="s">
        <v>386</v>
      </c>
      <c r="C140" s="8" t="s">
        <v>387</v>
      </c>
      <c r="D140" s="8" t="s">
        <v>31</v>
      </c>
      <c r="E140" s="8" t="s">
        <v>32</v>
      </c>
    </row>
    <row r="141" customFormat="false" ht="15" hidden="false" customHeight="false" outlineLevel="0" collapsed="false">
      <c r="A141" s="8" t="s">
        <v>385</v>
      </c>
      <c r="B141" s="9" t="s">
        <v>388</v>
      </c>
      <c r="C141" s="8" t="s">
        <v>389</v>
      </c>
      <c r="D141" s="8" t="s">
        <v>31</v>
      </c>
      <c r="E141" s="8" t="s">
        <v>32</v>
      </c>
    </row>
    <row r="142" customFormat="false" ht="44" hidden="false" customHeight="false" outlineLevel="0" collapsed="false">
      <c r="A142" s="8" t="s">
        <v>385</v>
      </c>
      <c r="B142" s="9" t="s">
        <v>390</v>
      </c>
      <c r="C142" s="8" t="s">
        <v>391</v>
      </c>
      <c r="D142" s="8" t="s">
        <v>31</v>
      </c>
      <c r="E142" s="8" t="s">
        <v>32</v>
      </c>
    </row>
    <row r="143" customFormat="false" ht="23.85" hidden="false" customHeight="false" outlineLevel="0" collapsed="false">
      <c r="A143" s="8" t="s">
        <v>392</v>
      </c>
      <c r="B143" s="9" t="s">
        <v>393</v>
      </c>
      <c r="C143" s="8" t="s">
        <v>394</v>
      </c>
      <c r="D143" s="8" t="s">
        <v>31</v>
      </c>
      <c r="E143" s="8" t="s">
        <v>32</v>
      </c>
    </row>
    <row r="144" customFormat="false" ht="15" hidden="false" customHeight="false" outlineLevel="0" collapsed="false">
      <c r="A144" s="10" t="s">
        <v>395</v>
      </c>
      <c r="B144" s="11" t="s">
        <v>396</v>
      </c>
      <c r="C144" s="10" t="s">
        <v>367</v>
      </c>
      <c r="D144" s="10" t="s">
        <v>31</v>
      </c>
      <c r="E144" s="10" t="s">
        <v>32</v>
      </c>
    </row>
    <row r="145" customFormat="false" ht="29.85" hidden="false" customHeight="false" outlineLevel="0" collapsed="false">
      <c r="A145" s="8" t="s">
        <v>397</v>
      </c>
      <c r="B145" s="9" t="s">
        <v>398</v>
      </c>
      <c r="C145" s="8" t="s">
        <v>399</v>
      </c>
      <c r="D145" s="8" t="s">
        <v>31</v>
      </c>
      <c r="E145" s="8" t="s">
        <v>32</v>
      </c>
    </row>
    <row r="146" customFormat="false" ht="15" hidden="false" customHeight="false" outlineLevel="0" collapsed="false">
      <c r="A146" s="8" t="s">
        <v>397</v>
      </c>
      <c r="B146" s="9" t="s">
        <v>400</v>
      </c>
      <c r="C146" s="8" t="s">
        <v>401</v>
      </c>
      <c r="D146" s="8" t="s">
        <v>31</v>
      </c>
      <c r="E146" s="8" t="s">
        <v>32</v>
      </c>
    </row>
    <row r="147" customFormat="false" ht="29.85" hidden="false" customHeight="false" outlineLevel="0" collapsed="false">
      <c r="A147" s="8" t="s">
        <v>397</v>
      </c>
      <c r="B147" s="9" t="s">
        <v>402</v>
      </c>
      <c r="C147" s="8" t="s">
        <v>403</v>
      </c>
      <c r="D147" s="8" t="s">
        <v>31</v>
      </c>
      <c r="E147" s="8" t="s">
        <v>32</v>
      </c>
    </row>
    <row r="148" customFormat="false" ht="15" hidden="false" customHeight="false" outlineLevel="0" collapsed="false">
      <c r="A148" s="8" t="s">
        <v>397</v>
      </c>
      <c r="B148" s="9" t="s">
        <v>404</v>
      </c>
      <c r="C148" s="8" t="s">
        <v>405</v>
      </c>
      <c r="D148" s="8" t="s">
        <v>31</v>
      </c>
      <c r="E148" s="8" t="s">
        <v>32</v>
      </c>
    </row>
    <row r="149" customFormat="false" ht="23.85" hidden="false" customHeight="false" outlineLevel="0" collapsed="false">
      <c r="A149" s="8" t="s">
        <v>406</v>
      </c>
      <c r="B149" s="9" t="s">
        <v>407</v>
      </c>
      <c r="C149" s="8" t="s">
        <v>408</v>
      </c>
      <c r="D149" s="8" t="s">
        <v>31</v>
      </c>
      <c r="E149" s="8" t="s">
        <v>32</v>
      </c>
    </row>
    <row r="150" customFormat="false" ht="15" hidden="false" customHeight="false" outlineLevel="0" collapsed="false">
      <c r="A150" s="10" t="s">
        <v>409</v>
      </c>
      <c r="B150" s="11" t="s">
        <v>410</v>
      </c>
      <c r="C150" s="10" t="s">
        <v>367</v>
      </c>
      <c r="D150" s="10" t="s">
        <v>31</v>
      </c>
      <c r="E150" s="10" t="s">
        <v>32</v>
      </c>
    </row>
    <row r="151" customFormat="false" ht="44" hidden="false" customHeight="false" outlineLevel="0" collapsed="false">
      <c r="A151" s="8" t="s">
        <v>409</v>
      </c>
      <c r="B151" s="9" t="s">
        <v>411</v>
      </c>
      <c r="C151" s="8" t="s">
        <v>412</v>
      </c>
      <c r="D151" s="8" t="s">
        <v>31</v>
      </c>
      <c r="E151" s="8" t="s">
        <v>32</v>
      </c>
    </row>
    <row r="152" customFormat="false" ht="15" hidden="false" customHeight="false" outlineLevel="0" collapsed="false">
      <c r="A152" s="10" t="s">
        <v>413</v>
      </c>
      <c r="B152" s="11" t="s">
        <v>414</v>
      </c>
      <c r="C152" s="10" t="s">
        <v>415</v>
      </c>
      <c r="D152" s="10" t="s">
        <v>31</v>
      </c>
      <c r="E152" s="10" t="s">
        <v>32</v>
      </c>
    </row>
    <row r="153" customFormat="false" ht="23.85" hidden="false" customHeight="false" outlineLevel="0" collapsed="false">
      <c r="A153" s="8" t="s">
        <v>416</v>
      </c>
      <c r="B153" s="9" t="s">
        <v>417</v>
      </c>
      <c r="C153" s="8" t="s">
        <v>418</v>
      </c>
      <c r="D153" s="8" t="s">
        <v>31</v>
      </c>
      <c r="E153" s="8" t="s">
        <v>32</v>
      </c>
    </row>
    <row r="154" customFormat="false" ht="35.05" hidden="false" customHeight="false" outlineLevel="0" collapsed="false">
      <c r="A154" s="8" t="s">
        <v>416</v>
      </c>
      <c r="B154" s="9" t="s">
        <v>419</v>
      </c>
      <c r="C154" s="8" t="s">
        <v>420</v>
      </c>
      <c r="D154" s="8" t="s">
        <v>31</v>
      </c>
      <c r="E154" s="8" t="s">
        <v>32</v>
      </c>
    </row>
    <row r="155" customFormat="false" ht="29.85" hidden="false" customHeight="false" outlineLevel="0" collapsed="false">
      <c r="A155" s="8" t="s">
        <v>421</v>
      </c>
      <c r="B155" s="9" t="s">
        <v>422</v>
      </c>
      <c r="C155" s="8" t="s">
        <v>423</v>
      </c>
      <c r="D155" s="8" t="s">
        <v>31</v>
      </c>
      <c r="E155" s="8" t="s">
        <v>32</v>
      </c>
    </row>
    <row r="156" customFormat="false" ht="23.85" hidden="false" customHeight="false" outlineLevel="0" collapsed="false">
      <c r="A156" s="8" t="s">
        <v>424</v>
      </c>
      <c r="B156" s="9" t="s">
        <v>425</v>
      </c>
      <c r="C156" s="8" t="s">
        <v>426</v>
      </c>
      <c r="D156" s="8" t="s">
        <v>31</v>
      </c>
      <c r="E156" s="8" t="s">
        <v>32</v>
      </c>
    </row>
    <row r="157" customFormat="false" ht="15" hidden="false" customHeight="false" outlineLevel="0" collapsed="false">
      <c r="A157" s="8" t="s">
        <v>427</v>
      </c>
      <c r="B157" s="9" t="s">
        <v>428</v>
      </c>
      <c r="C157" s="8" t="s">
        <v>401</v>
      </c>
      <c r="D157" s="8" t="s">
        <v>31</v>
      </c>
      <c r="E157" s="8" t="s">
        <v>32</v>
      </c>
    </row>
    <row r="158" customFormat="false" ht="15" hidden="false" customHeight="false" outlineLevel="0" collapsed="false">
      <c r="A158" s="8" t="s">
        <v>429</v>
      </c>
      <c r="B158" s="9" t="s">
        <v>430</v>
      </c>
      <c r="C158" s="8" t="s">
        <v>431</v>
      </c>
      <c r="D158" s="8" t="s">
        <v>31</v>
      </c>
      <c r="E158" s="8" t="s">
        <v>32</v>
      </c>
    </row>
    <row r="159" customFormat="false" ht="23.85" hidden="false" customHeight="false" outlineLevel="0" collapsed="false">
      <c r="A159" s="8" t="s">
        <v>429</v>
      </c>
      <c r="B159" s="9" t="s">
        <v>432</v>
      </c>
      <c r="C159" s="8" t="s">
        <v>433</v>
      </c>
      <c r="D159" s="8" t="s">
        <v>31</v>
      </c>
      <c r="E159" s="8" t="s">
        <v>32</v>
      </c>
    </row>
    <row r="160" customFormat="false" ht="15" hidden="false" customHeight="false" outlineLevel="0" collapsed="false">
      <c r="A160" s="8" t="s">
        <v>434</v>
      </c>
      <c r="B160" s="9" t="s">
        <v>435</v>
      </c>
      <c r="C160" s="8" t="s">
        <v>436</v>
      </c>
      <c r="D160" s="8" t="s">
        <v>31</v>
      </c>
      <c r="E160" s="8" t="s">
        <v>32</v>
      </c>
    </row>
    <row r="161" customFormat="false" ht="15" hidden="false" customHeight="false" outlineLevel="0" collapsed="false">
      <c r="A161" s="8" t="s">
        <v>434</v>
      </c>
      <c r="B161" s="9" t="s">
        <v>437</v>
      </c>
      <c r="C161" s="8" t="s">
        <v>438</v>
      </c>
      <c r="D161" s="8" t="s">
        <v>31</v>
      </c>
      <c r="E161" s="8" t="s">
        <v>32</v>
      </c>
    </row>
    <row r="162" customFormat="false" ht="15" hidden="false" customHeight="false" outlineLevel="0" collapsed="false">
      <c r="A162" s="8" t="s">
        <v>439</v>
      </c>
      <c r="B162" s="9" t="s">
        <v>440</v>
      </c>
      <c r="C162" s="8" t="s">
        <v>441</v>
      </c>
      <c r="D162" s="8" t="s">
        <v>31</v>
      </c>
      <c r="E162" s="8" t="s">
        <v>32</v>
      </c>
    </row>
    <row r="163" customFormat="false" ht="15" hidden="false" customHeight="false" outlineLevel="0" collapsed="false">
      <c r="A163" s="8" t="s">
        <v>442</v>
      </c>
      <c r="B163" s="9" t="s">
        <v>443</v>
      </c>
      <c r="C163" s="8" t="s">
        <v>444</v>
      </c>
      <c r="D163" s="8" t="s">
        <v>31</v>
      </c>
      <c r="E163" s="8" t="s">
        <v>32</v>
      </c>
    </row>
    <row r="164" customFormat="false" ht="15" hidden="false" customHeight="false" outlineLevel="0" collapsed="false">
      <c r="A164" s="8" t="s">
        <v>445</v>
      </c>
      <c r="B164" s="9" t="s">
        <v>446</v>
      </c>
      <c r="C164" s="8" t="s">
        <v>447</v>
      </c>
      <c r="D164" s="8" t="s">
        <v>31</v>
      </c>
      <c r="E164" s="8" t="s">
        <v>32</v>
      </c>
    </row>
    <row r="165" customFormat="false" ht="29.85" hidden="false" customHeight="false" outlineLevel="0" collapsed="false">
      <c r="A165" s="8" t="s">
        <v>448</v>
      </c>
      <c r="B165" s="9" t="s">
        <v>449</v>
      </c>
      <c r="C165" s="8" t="s">
        <v>450</v>
      </c>
      <c r="D165" s="8" t="s">
        <v>31</v>
      </c>
      <c r="E165" s="8" t="s">
        <v>32</v>
      </c>
    </row>
    <row r="166" customFormat="false" ht="23.85" hidden="false" customHeight="false" outlineLevel="0" collapsed="false">
      <c r="A166" s="8" t="s">
        <v>451</v>
      </c>
      <c r="B166" s="9" t="s">
        <v>452</v>
      </c>
      <c r="C166" s="8" t="s">
        <v>453</v>
      </c>
      <c r="D166" s="8" t="s">
        <v>31</v>
      </c>
      <c r="E166" s="8" t="s">
        <v>32</v>
      </c>
    </row>
    <row r="167" customFormat="false" ht="23.85" hidden="false" customHeight="false" outlineLevel="0" collapsed="false">
      <c r="A167" s="8" t="s">
        <v>454</v>
      </c>
      <c r="B167" s="9" t="s">
        <v>455</v>
      </c>
      <c r="C167" s="8" t="s">
        <v>456</v>
      </c>
      <c r="D167" s="8" t="s">
        <v>31</v>
      </c>
      <c r="E167" s="8" t="s">
        <v>32</v>
      </c>
    </row>
    <row r="168" customFormat="false" ht="23.85" hidden="false" customHeight="false" outlineLevel="0" collapsed="false">
      <c r="A168" s="8" t="s">
        <v>457</v>
      </c>
      <c r="B168" s="9" t="s">
        <v>458</v>
      </c>
      <c r="C168" s="8" t="s">
        <v>459</v>
      </c>
      <c r="D168" s="8" t="s">
        <v>31</v>
      </c>
      <c r="E168" s="8" t="s">
        <v>32</v>
      </c>
    </row>
    <row r="169" customFormat="false" ht="29.85" hidden="false" customHeight="false" outlineLevel="0" collapsed="false">
      <c r="A169" s="8" t="s">
        <v>457</v>
      </c>
      <c r="B169" s="9" t="s">
        <v>460</v>
      </c>
      <c r="C169" s="8" t="s">
        <v>461</v>
      </c>
      <c r="D169" s="8" t="s">
        <v>31</v>
      </c>
      <c r="E169" s="8" t="s">
        <v>32</v>
      </c>
    </row>
    <row r="170" customFormat="false" ht="15" hidden="false" customHeight="false" outlineLevel="0" collapsed="false">
      <c r="A170" s="8" t="s">
        <v>462</v>
      </c>
      <c r="B170" s="9" t="s">
        <v>463</v>
      </c>
      <c r="C170" s="8" t="s">
        <v>464</v>
      </c>
      <c r="D170" s="8" t="s">
        <v>31</v>
      </c>
      <c r="E170" s="8" t="s">
        <v>32</v>
      </c>
    </row>
    <row r="171" customFormat="false" ht="15" hidden="false" customHeight="false" outlineLevel="0" collapsed="false">
      <c r="A171" s="8" t="s">
        <v>462</v>
      </c>
      <c r="B171" s="9" t="s">
        <v>465</v>
      </c>
      <c r="C171" s="8" t="s">
        <v>466</v>
      </c>
      <c r="D171" s="8" t="s">
        <v>31</v>
      </c>
      <c r="E171" s="8" t="s">
        <v>32</v>
      </c>
    </row>
    <row r="172" customFormat="false" ht="29.85" hidden="false" customHeight="false" outlineLevel="0" collapsed="false">
      <c r="A172" s="8" t="s">
        <v>467</v>
      </c>
      <c r="B172" s="9" t="s">
        <v>468</v>
      </c>
      <c r="C172" s="8" t="s">
        <v>469</v>
      </c>
      <c r="D172" s="8" t="s">
        <v>31</v>
      </c>
      <c r="E172" s="8" t="s">
        <v>32</v>
      </c>
    </row>
    <row r="173" customFormat="false" ht="15" hidden="false" customHeight="false" outlineLevel="0" collapsed="false">
      <c r="A173" s="10" t="s">
        <v>462</v>
      </c>
      <c r="B173" s="11" t="s">
        <v>470</v>
      </c>
      <c r="C173" s="10" t="s">
        <v>471</v>
      </c>
      <c r="D173" s="10" t="s">
        <v>31</v>
      </c>
      <c r="E173" s="10" t="s">
        <v>32</v>
      </c>
    </row>
    <row r="174" customFormat="false" ht="15" hidden="false" customHeight="false" outlineLevel="0" collapsed="false">
      <c r="A174" s="10" t="s">
        <v>472</v>
      </c>
      <c r="B174" s="11" t="s">
        <v>473</v>
      </c>
      <c r="C174" s="10" t="s">
        <v>367</v>
      </c>
      <c r="D174" s="10" t="s">
        <v>31</v>
      </c>
      <c r="E174" s="10" t="s">
        <v>32</v>
      </c>
    </row>
    <row r="175" customFormat="false" ht="29.85" hidden="false" customHeight="false" outlineLevel="0" collapsed="false">
      <c r="A175" s="8" t="s">
        <v>474</v>
      </c>
      <c r="B175" s="9" t="s">
        <v>475</v>
      </c>
      <c r="C175" s="8" t="s">
        <v>476</v>
      </c>
      <c r="D175" s="8" t="s">
        <v>31</v>
      </c>
      <c r="E175" s="8" t="s">
        <v>32</v>
      </c>
    </row>
    <row r="176" customFormat="false" ht="23.85" hidden="false" customHeight="false" outlineLevel="0" collapsed="false">
      <c r="A176" s="10" t="s">
        <v>477</v>
      </c>
      <c r="B176" s="11" t="s">
        <v>478</v>
      </c>
      <c r="C176" s="10" t="s">
        <v>479</v>
      </c>
      <c r="D176" s="10" t="s">
        <v>31</v>
      </c>
      <c r="E176" s="10" t="s">
        <v>32</v>
      </c>
    </row>
    <row r="177" customFormat="false" ht="29.85" hidden="false" customHeight="false" outlineLevel="0" collapsed="false">
      <c r="A177" s="8" t="s">
        <v>477</v>
      </c>
      <c r="B177" s="9" t="s">
        <v>480</v>
      </c>
      <c r="C177" s="8" t="s">
        <v>481</v>
      </c>
      <c r="D177" s="8" t="s">
        <v>31</v>
      </c>
      <c r="E177" s="8" t="s">
        <v>32</v>
      </c>
    </row>
    <row r="178" customFormat="false" ht="15" hidden="false" customHeight="false" outlineLevel="0" collapsed="false">
      <c r="A178" s="8" t="s">
        <v>482</v>
      </c>
      <c r="B178" s="9" t="s">
        <v>483</v>
      </c>
      <c r="C178" s="8" t="s">
        <v>484</v>
      </c>
      <c r="D178" s="8" t="s">
        <v>31</v>
      </c>
      <c r="E178" s="8" t="s">
        <v>32</v>
      </c>
    </row>
    <row r="179" customFormat="false" ht="23.85" hidden="false" customHeight="false" outlineLevel="0" collapsed="false">
      <c r="A179" s="8" t="s">
        <v>485</v>
      </c>
      <c r="B179" s="9" t="s">
        <v>486</v>
      </c>
      <c r="C179" s="8" t="s">
        <v>487</v>
      </c>
      <c r="D179" s="8" t="s">
        <v>31</v>
      </c>
      <c r="E179" s="8" t="s">
        <v>32</v>
      </c>
    </row>
    <row r="180" customFormat="false" ht="15" hidden="false" customHeight="false" outlineLevel="0" collapsed="false">
      <c r="A180" s="10" t="s">
        <v>488</v>
      </c>
      <c r="B180" s="11" t="s">
        <v>230</v>
      </c>
      <c r="C180" s="10" t="s">
        <v>231</v>
      </c>
      <c r="D180" s="10" t="s">
        <v>31</v>
      </c>
      <c r="E180" s="10" t="s">
        <v>32</v>
      </c>
    </row>
    <row r="181" customFormat="false" ht="26.85" hidden="false" customHeight="false" outlineLevel="0" collapsed="false">
      <c r="A181" s="8" t="s">
        <v>489</v>
      </c>
      <c r="B181" s="9" t="s">
        <v>490</v>
      </c>
      <c r="C181" s="8" t="s">
        <v>491</v>
      </c>
      <c r="D181" s="8" t="s">
        <v>31</v>
      </c>
      <c r="E181" s="8" t="s">
        <v>32</v>
      </c>
    </row>
    <row r="182" customFormat="false" ht="26.85" hidden="false" customHeight="false" outlineLevel="0" collapsed="false">
      <c r="A182" s="8" t="s">
        <v>492</v>
      </c>
      <c r="B182" s="9" t="s">
        <v>493</v>
      </c>
      <c r="C182" s="8" t="s">
        <v>494</v>
      </c>
      <c r="D182" s="8" t="s">
        <v>31</v>
      </c>
      <c r="E182" s="8" t="s">
        <v>32</v>
      </c>
    </row>
    <row r="183" customFormat="false" ht="26.85" hidden="false" customHeight="false" outlineLevel="0" collapsed="false">
      <c r="A183" s="8" t="s">
        <v>495</v>
      </c>
      <c r="B183" s="9" t="s">
        <v>490</v>
      </c>
      <c r="C183" s="8" t="s">
        <v>496</v>
      </c>
      <c r="D183" s="8" t="s">
        <v>31</v>
      </c>
      <c r="E183" s="8" t="s">
        <v>32</v>
      </c>
    </row>
    <row r="184" customFormat="false" ht="15" hidden="false" customHeight="false" outlineLevel="0" collapsed="false">
      <c r="A184" s="8" t="s">
        <v>497</v>
      </c>
      <c r="B184" s="9" t="s">
        <v>498</v>
      </c>
      <c r="C184" s="8" t="s">
        <v>499</v>
      </c>
      <c r="D184" s="8" t="s">
        <v>31</v>
      </c>
      <c r="E184" s="8" t="s">
        <v>32</v>
      </c>
    </row>
    <row r="185" customFormat="false" ht="15" hidden="false" customHeight="false" outlineLevel="0" collapsed="false">
      <c r="A185" s="8" t="s">
        <v>500</v>
      </c>
      <c r="B185" s="9" t="s">
        <v>501</v>
      </c>
      <c r="C185" s="8" t="s">
        <v>502</v>
      </c>
      <c r="D185" s="8" t="s">
        <v>31</v>
      </c>
      <c r="E185" s="8" t="s">
        <v>32</v>
      </c>
    </row>
    <row r="186" customFormat="false" ht="15" hidden="false" customHeight="false" outlineLevel="0" collapsed="false">
      <c r="A186" s="8" t="s">
        <v>503</v>
      </c>
      <c r="B186" s="9" t="s">
        <v>493</v>
      </c>
      <c r="C186" s="8" t="s">
        <v>504</v>
      </c>
      <c r="D186" s="8" t="s">
        <v>31</v>
      </c>
      <c r="E186" s="8" t="s">
        <v>32</v>
      </c>
    </row>
    <row r="187" customFormat="false" ht="26.85" hidden="false" customHeight="false" outlineLevel="0" collapsed="false">
      <c r="A187" s="8" t="s">
        <v>505</v>
      </c>
      <c r="B187" s="9" t="s">
        <v>506</v>
      </c>
      <c r="C187" s="8" t="s">
        <v>507</v>
      </c>
      <c r="D187" s="8" t="s">
        <v>31</v>
      </c>
      <c r="E187" s="8" t="s">
        <v>32</v>
      </c>
    </row>
    <row r="188" customFormat="false" ht="15" hidden="false" customHeight="false" outlineLevel="0" collapsed="false">
      <c r="A188" s="8" t="s">
        <v>508</v>
      </c>
      <c r="B188" s="9" t="s">
        <v>509</v>
      </c>
      <c r="C188" s="8" t="s">
        <v>510</v>
      </c>
      <c r="D188" s="8" t="s">
        <v>31</v>
      </c>
      <c r="E188" s="8" t="s">
        <v>32</v>
      </c>
    </row>
    <row r="189" customFormat="false" ht="15" hidden="false" customHeight="false" outlineLevel="0" collapsed="false">
      <c r="A189" s="8" t="s">
        <v>511</v>
      </c>
      <c r="B189" s="9" t="s">
        <v>512</v>
      </c>
      <c r="C189" s="8" t="s">
        <v>513</v>
      </c>
      <c r="D189" s="8" t="s">
        <v>31</v>
      </c>
      <c r="E189" s="8" t="s">
        <v>32</v>
      </c>
    </row>
    <row r="190" customFormat="false" ht="26.85" hidden="false" customHeight="false" outlineLevel="0" collapsed="false">
      <c r="A190" s="8" t="s">
        <v>514</v>
      </c>
      <c r="B190" s="9" t="s">
        <v>515</v>
      </c>
      <c r="C190" s="8" t="s">
        <v>516</v>
      </c>
      <c r="D190" s="8" t="s">
        <v>31</v>
      </c>
      <c r="E190" s="8" t="s">
        <v>32</v>
      </c>
    </row>
    <row r="191" customFormat="false" ht="26.85" hidden="false" customHeight="false" outlineLevel="0" collapsed="false">
      <c r="A191" s="8" t="s">
        <v>517</v>
      </c>
      <c r="B191" s="9" t="s">
        <v>493</v>
      </c>
      <c r="C191" s="8" t="s">
        <v>504</v>
      </c>
      <c r="D191" s="8" t="s">
        <v>31</v>
      </c>
      <c r="E191" s="8" t="s">
        <v>32</v>
      </c>
    </row>
    <row r="192" customFormat="false" ht="15" hidden="false" customHeight="false" outlineLevel="0" collapsed="false">
      <c r="A192" s="8" t="s">
        <v>518</v>
      </c>
      <c r="B192" s="9" t="s">
        <v>519</v>
      </c>
      <c r="C192" s="8" t="s">
        <v>520</v>
      </c>
      <c r="D192" s="8" t="s">
        <v>31</v>
      </c>
      <c r="E192" s="8" t="s">
        <v>32</v>
      </c>
    </row>
    <row r="193" customFormat="false" ht="15" hidden="false" customHeight="false" outlineLevel="0" collapsed="false">
      <c r="A193" s="10" t="s">
        <v>521</v>
      </c>
      <c r="B193" s="10" t="s">
        <v>522</v>
      </c>
      <c r="C193" s="10" t="s">
        <v>523</v>
      </c>
      <c r="D193" s="10" t="s">
        <v>31</v>
      </c>
      <c r="E193" s="10" t="s">
        <v>32</v>
      </c>
    </row>
    <row r="194" customFormat="false" ht="29.85" hidden="false" customHeight="false" outlineLevel="0" collapsed="false">
      <c r="A194" s="8" t="s">
        <v>524</v>
      </c>
      <c r="B194" s="9" t="s">
        <v>525</v>
      </c>
      <c r="C194" s="8" t="s">
        <v>526</v>
      </c>
      <c r="D194" s="8" t="s">
        <v>31</v>
      </c>
      <c r="E194" s="8" t="s">
        <v>32</v>
      </c>
    </row>
    <row r="195" customFormat="false" ht="29.85" hidden="false" customHeight="false" outlineLevel="0" collapsed="false">
      <c r="A195" s="8" t="s">
        <v>527</v>
      </c>
      <c r="B195" s="9" t="s">
        <v>528</v>
      </c>
      <c r="C195" s="8" t="s">
        <v>529</v>
      </c>
      <c r="D195" s="8" t="s">
        <v>31</v>
      </c>
      <c r="E195" s="8" t="s">
        <v>32</v>
      </c>
    </row>
    <row r="196" customFormat="false" ht="29.85" hidden="false" customHeight="false" outlineLevel="0" collapsed="false">
      <c r="A196" s="8" t="s">
        <v>530</v>
      </c>
      <c r="B196" s="9" t="s">
        <v>531</v>
      </c>
      <c r="C196" s="8" t="s">
        <v>532</v>
      </c>
      <c r="D196" s="8" t="s">
        <v>31</v>
      </c>
      <c r="E196" s="8" t="s">
        <v>32</v>
      </c>
    </row>
    <row r="197" customFormat="false" ht="29.85" hidden="false" customHeight="false" outlineLevel="0" collapsed="false">
      <c r="A197" s="8" t="s">
        <v>533</v>
      </c>
      <c r="B197" s="9" t="s">
        <v>534</v>
      </c>
      <c r="C197" s="8" t="s">
        <v>535</v>
      </c>
      <c r="D197" s="8" t="s">
        <v>31</v>
      </c>
      <c r="E197" s="8" t="s">
        <v>32</v>
      </c>
    </row>
    <row r="198" customFormat="false" ht="29.85" hidden="false" customHeight="false" outlineLevel="0" collapsed="false">
      <c r="A198" s="8" t="s">
        <v>536</v>
      </c>
      <c r="B198" s="9" t="s">
        <v>528</v>
      </c>
      <c r="C198" s="8" t="s">
        <v>529</v>
      </c>
      <c r="D198" s="8" t="s">
        <v>31</v>
      </c>
      <c r="E198" s="8" t="s">
        <v>32</v>
      </c>
    </row>
    <row r="199" customFormat="false" ht="29.85" hidden="false" customHeight="false" outlineLevel="0" collapsed="false">
      <c r="A199" s="8" t="s">
        <v>537</v>
      </c>
      <c r="B199" s="9" t="s">
        <v>538</v>
      </c>
      <c r="C199" s="8" t="s">
        <v>539</v>
      </c>
      <c r="D199" s="8" t="s">
        <v>31</v>
      </c>
      <c r="E199" s="8" t="s">
        <v>32</v>
      </c>
    </row>
    <row r="200" customFormat="false" ht="29.85" hidden="false" customHeight="false" outlineLevel="0" collapsed="false">
      <c r="A200" s="8" t="s">
        <v>540</v>
      </c>
      <c r="B200" s="9" t="s">
        <v>541</v>
      </c>
      <c r="C200" s="8" t="s">
        <v>542</v>
      </c>
      <c r="D200" s="8" t="s">
        <v>31</v>
      </c>
      <c r="E200" s="8" t="s">
        <v>32</v>
      </c>
    </row>
    <row r="201" customFormat="false" ht="29.85" hidden="false" customHeight="false" outlineLevel="0" collapsed="false">
      <c r="A201" s="8" t="s">
        <v>543</v>
      </c>
      <c r="B201" s="9" t="s">
        <v>528</v>
      </c>
      <c r="C201" s="8" t="s">
        <v>529</v>
      </c>
      <c r="D201" s="8" t="s">
        <v>31</v>
      </c>
      <c r="E201" s="8" t="s">
        <v>32</v>
      </c>
    </row>
    <row r="202" customFormat="false" ht="29.85" hidden="false" customHeight="false" outlineLevel="0" collapsed="false">
      <c r="A202" s="8" t="s">
        <v>544</v>
      </c>
      <c r="B202" s="9" t="s">
        <v>545</v>
      </c>
      <c r="C202" s="8" t="s">
        <v>546</v>
      </c>
      <c r="D202" s="8" t="s">
        <v>31</v>
      </c>
      <c r="E202" s="8" t="s">
        <v>32</v>
      </c>
    </row>
    <row r="203" customFormat="false" ht="29.85" hidden="false" customHeight="false" outlineLevel="0" collapsed="false">
      <c r="A203" s="8" t="s">
        <v>547</v>
      </c>
      <c r="B203" s="9" t="s">
        <v>548</v>
      </c>
      <c r="C203" s="8" t="s">
        <v>549</v>
      </c>
      <c r="D203" s="8" t="s">
        <v>31</v>
      </c>
      <c r="E203" s="8" t="s">
        <v>32</v>
      </c>
    </row>
    <row r="204" customFormat="false" ht="29.85" hidden="false" customHeight="false" outlineLevel="0" collapsed="false">
      <c r="A204" s="8" t="s">
        <v>550</v>
      </c>
      <c r="B204" s="9" t="s">
        <v>551</v>
      </c>
      <c r="C204" s="8" t="s">
        <v>552</v>
      </c>
      <c r="D204" s="8" t="s">
        <v>31</v>
      </c>
      <c r="E204" s="8" t="s">
        <v>32</v>
      </c>
    </row>
    <row r="205" customFormat="false" ht="29.85" hidden="false" customHeight="false" outlineLevel="0" collapsed="false">
      <c r="A205" s="8" t="s">
        <v>553</v>
      </c>
      <c r="B205" s="9" t="s">
        <v>554</v>
      </c>
      <c r="C205" s="8" t="s">
        <v>555</v>
      </c>
      <c r="D205" s="8" t="s">
        <v>31</v>
      </c>
      <c r="E205" s="8" t="s">
        <v>32</v>
      </c>
    </row>
    <row r="206" customFormat="false" ht="15" hidden="false" customHeight="false" outlineLevel="0" collapsed="false">
      <c r="A206" s="8" t="s">
        <v>556</v>
      </c>
      <c r="B206" s="9" t="s">
        <v>557</v>
      </c>
      <c r="C206" s="8" t="s">
        <v>558</v>
      </c>
      <c r="D206" s="8" t="s">
        <v>31</v>
      </c>
      <c r="E206" s="8" t="s">
        <v>32</v>
      </c>
    </row>
    <row r="207" customFormat="false" ht="15" hidden="false" customHeight="false" outlineLevel="0" collapsed="false">
      <c r="A207" s="8" t="s">
        <v>559</v>
      </c>
      <c r="B207" s="9" t="s">
        <v>560</v>
      </c>
      <c r="C207" s="8" t="s">
        <v>561</v>
      </c>
      <c r="D207" s="8" t="s">
        <v>31</v>
      </c>
      <c r="E207" s="8" t="s">
        <v>32</v>
      </c>
    </row>
    <row r="208" customFormat="false" ht="15" hidden="false" customHeight="false" outlineLevel="0" collapsed="false">
      <c r="A208" s="8" t="s">
        <v>562</v>
      </c>
      <c r="B208" s="9" t="s">
        <v>563</v>
      </c>
      <c r="C208" s="8" t="s">
        <v>564</v>
      </c>
      <c r="D208" s="8" t="s">
        <v>31</v>
      </c>
      <c r="E208" s="8" t="s">
        <v>32</v>
      </c>
    </row>
    <row r="209" customFormat="false" ht="29.85" hidden="false" customHeight="false" outlineLevel="0" collapsed="false">
      <c r="A209" s="8" t="s">
        <v>565</v>
      </c>
      <c r="B209" s="9" t="s">
        <v>566</v>
      </c>
      <c r="C209" s="8" t="s">
        <v>567</v>
      </c>
      <c r="D209" s="8" t="s">
        <v>31</v>
      </c>
      <c r="E209" s="8" t="s">
        <v>32</v>
      </c>
    </row>
    <row r="210" customFormat="false" ht="26.85" hidden="false" customHeight="false" outlineLevel="0" collapsed="false">
      <c r="A210" s="8" t="s">
        <v>568</v>
      </c>
      <c r="B210" s="9" t="s">
        <v>569</v>
      </c>
      <c r="C210" s="8" t="s">
        <v>570</v>
      </c>
      <c r="D210" s="8" t="s">
        <v>31</v>
      </c>
      <c r="E210" s="8" t="s">
        <v>32</v>
      </c>
    </row>
    <row r="211" customFormat="false" ht="15" hidden="false" customHeight="false" outlineLevel="0" collapsed="false">
      <c r="A211" s="8" t="s">
        <v>571</v>
      </c>
      <c r="B211" s="9" t="s">
        <v>572</v>
      </c>
      <c r="C211" s="8" t="s">
        <v>573</v>
      </c>
      <c r="D211" s="8" t="s">
        <v>31</v>
      </c>
      <c r="E211" s="8" t="s">
        <v>32</v>
      </c>
    </row>
    <row r="212" customFormat="false" ht="26.85" hidden="false" customHeight="false" outlineLevel="0" collapsed="false">
      <c r="A212" s="8" t="s">
        <v>574</v>
      </c>
      <c r="B212" s="9" t="s">
        <v>575</v>
      </c>
      <c r="C212" s="8" t="s">
        <v>576</v>
      </c>
      <c r="D212" s="8" t="s">
        <v>31</v>
      </c>
      <c r="E212" s="8" t="s">
        <v>32</v>
      </c>
    </row>
    <row r="213" customFormat="false" ht="26.85" hidden="false" customHeight="false" outlineLevel="0" collapsed="false">
      <c r="A213" s="8" t="s">
        <v>577</v>
      </c>
      <c r="B213" s="9" t="s">
        <v>578</v>
      </c>
      <c r="C213" s="8" t="s">
        <v>579</v>
      </c>
      <c r="D213" s="8" t="s">
        <v>31</v>
      </c>
      <c r="E213" s="8" t="s">
        <v>32</v>
      </c>
    </row>
    <row r="214" customFormat="false" ht="15" hidden="false" customHeight="false" outlineLevel="0" collapsed="false">
      <c r="A214" s="8" t="s">
        <v>580</v>
      </c>
      <c r="B214" s="9" t="s">
        <v>581</v>
      </c>
      <c r="C214" s="8" t="s">
        <v>582</v>
      </c>
      <c r="D214" s="8" t="s">
        <v>31</v>
      </c>
      <c r="E214" s="8" t="s">
        <v>32</v>
      </c>
    </row>
    <row r="215" customFormat="false" ht="26.85" hidden="false" customHeight="false" outlineLevel="0" collapsed="false">
      <c r="A215" s="8" t="s">
        <v>583</v>
      </c>
      <c r="B215" s="9" t="s">
        <v>584</v>
      </c>
      <c r="C215" s="8" t="s">
        <v>585</v>
      </c>
      <c r="D215" s="8" t="s">
        <v>31</v>
      </c>
      <c r="E215" s="8" t="s">
        <v>32</v>
      </c>
    </row>
    <row r="216" customFormat="false" ht="26.85" hidden="false" customHeight="false" outlineLevel="0" collapsed="false">
      <c r="A216" s="8" t="s">
        <v>586</v>
      </c>
      <c r="B216" s="9" t="s">
        <v>587</v>
      </c>
      <c r="C216" s="8" t="s">
        <v>588</v>
      </c>
      <c r="D216" s="8" t="s">
        <v>31</v>
      </c>
      <c r="E216" s="8" t="s">
        <v>32</v>
      </c>
    </row>
    <row r="217" customFormat="false" ht="26.85" hidden="false" customHeight="false" outlineLevel="0" collapsed="false">
      <c r="A217" s="8" t="s">
        <v>589</v>
      </c>
      <c r="B217" s="9" t="s">
        <v>590</v>
      </c>
      <c r="C217" s="8" t="s">
        <v>591</v>
      </c>
      <c r="D217" s="8" t="s">
        <v>31</v>
      </c>
      <c r="E217" s="8" t="s">
        <v>32</v>
      </c>
    </row>
    <row r="218" customFormat="false" ht="29.85" hidden="false" customHeight="false" outlineLevel="0" collapsed="false">
      <c r="A218" s="8" t="s">
        <v>592</v>
      </c>
      <c r="B218" s="9" t="s">
        <v>587</v>
      </c>
      <c r="C218" s="8" t="s">
        <v>588</v>
      </c>
      <c r="D218" s="8" t="s">
        <v>593</v>
      </c>
      <c r="E218" s="8" t="s">
        <v>594</v>
      </c>
    </row>
    <row r="219" customFormat="false" ht="15" hidden="false" customHeight="false" outlineLevel="0" collapsed="false">
      <c r="A219" s="8" t="s">
        <v>595</v>
      </c>
      <c r="B219" s="9" t="s">
        <v>596</v>
      </c>
      <c r="C219" s="8" t="s">
        <v>597</v>
      </c>
      <c r="D219" s="8" t="s">
        <v>31</v>
      </c>
      <c r="E219" s="8" t="s">
        <v>32</v>
      </c>
    </row>
    <row r="220" customFormat="false" ht="26.85" hidden="false" customHeight="false" outlineLevel="0" collapsed="false">
      <c r="A220" s="8" t="s">
        <v>598</v>
      </c>
      <c r="B220" s="9" t="s">
        <v>599</v>
      </c>
      <c r="C220" s="8" t="s">
        <v>600</v>
      </c>
      <c r="D220" s="8" t="s">
        <v>31</v>
      </c>
      <c r="E220" s="8" t="s">
        <v>32</v>
      </c>
    </row>
    <row r="221" customFormat="false" ht="26.85" hidden="false" customHeight="false" outlineLevel="0" collapsed="false">
      <c r="A221" s="8" t="s">
        <v>601</v>
      </c>
      <c r="B221" s="9" t="s">
        <v>602</v>
      </c>
      <c r="C221" s="8" t="s">
        <v>603</v>
      </c>
      <c r="D221" s="8" t="s">
        <v>31</v>
      </c>
      <c r="E221" s="8" t="s">
        <v>32</v>
      </c>
    </row>
    <row r="222" customFormat="false" ht="26.85" hidden="false" customHeight="false" outlineLevel="0" collapsed="false">
      <c r="A222" s="8" t="s">
        <v>604</v>
      </c>
      <c r="B222" s="9" t="s">
        <v>605</v>
      </c>
      <c r="C222" s="8" t="s">
        <v>606</v>
      </c>
      <c r="D222" s="8" t="s">
        <v>31</v>
      </c>
      <c r="E222" s="8" t="s">
        <v>32</v>
      </c>
    </row>
    <row r="223" customFormat="false" ht="26.85" hidden="false" customHeight="false" outlineLevel="0" collapsed="false">
      <c r="A223" s="8" t="s">
        <v>607</v>
      </c>
      <c r="B223" s="9" t="s">
        <v>608</v>
      </c>
      <c r="C223" s="8" t="s">
        <v>609</v>
      </c>
      <c r="D223" s="8" t="s">
        <v>31</v>
      </c>
      <c r="E223" s="8" t="s">
        <v>32</v>
      </c>
    </row>
    <row r="224" customFormat="false" ht="26.85" hidden="false" customHeight="false" outlineLevel="0" collapsed="false">
      <c r="A224" s="8" t="s">
        <v>610</v>
      </c>
      <c r="B224" s="9" t="s">
        <v>611</v>
      </c>
      <c r="C224" s="8" t="s">
        <v>612</v>
      </c>
      <c r="D224" s="8" t="s">
        <v>31</v>
      </c>
      <c r="E224" s="8" t="s">
        <v>32</v>
      </c>
    </row>
    <row r="225" customFormat="false" ht="26.85" hidden="false" customHeight="false" outlineLevel="0" collapsed="false">
      <c r="A225" s="8" t="s">
        <v>613</v>
      </c>
      <c r="B225" s="9" t="s">
        <v>614</v>
      </c>
      <c r="C225" s="8" t="s">
        <v>615</v>
      </c>
      <c r="D225" s="8" t="s">
        <v>31</v>
      </c>
      <c r="E225" s="8" t="s">
        <v>32</v>
      </c>
    </row>
    <row r="226" customFormat="false" ht="26.85" hidden="false" customHeight="false" outlineLevel="0" collapsed="false">
      <c r="A226" s="8" t="s">
        <v>616</v>
      </c>
      <c r="B226" s="9" t="s">
        <v>617</v>
      </c>
      <c r="C226" s="8" t="s">
        <v>618</v>
      </c>
      <c r="D226" s="8" t="s">
        <v>31</v>
      </c>
      <c r="E226" s="8" t="s">
        <v>32</v>
      </c>
    </row>
    <row r="227" customFormat="false" ht="15" hidden="false" customHeight="false" outlineLevel="0" collapsed="false">
      <c r="A227" s="8" t="s">
        <v>619</v>
      </c>
      <c r="B227" s="9" t="s">
        <v>620</v>
      </c>
      <c r="C227" s="8" t="s">
        <v>621</v>
      </c>
      <c r="D227" s="8" t="s">
        <v>31</v>
      </c>
      <c r="E227" s="8" t="s">
        <v>32</v>
      </c>
    </row>
    <row r="228" customFormat="false" ht="26.85" hidden="false" customHeight="false" outlineLevel="0" collapsed="false">
      <c r="A228" s="8" t="s">
        <v>622</v>
      </c>
      <c r="B228" s="9" t="s">
        <v>623</v>
      </c>
      <c r="C228" s="8" t="s">
        <v>624</v>
      </c>
      <c r="D228" s="8" t="s">
        <v>31</v>
      </c>
      <c r="E228" s="8" t="s">
        <v>32</v>
      </c>
    </row>
    <row r="229" customFormat="false" ht="26.85" hidden="false" customHeight="false" outlineLevel="0" collapsed="false">
      <c r="A229" s="8" t="s">
        <v>625</v>
      </c>
      <c r="B229" s="9" t="s">
        <v>626</v>
      </c>
      <c r="C229" s="8" t="s">
        <v>627</v>
      </c>
      <c r="D229" s="8" t="s">
        <v>31</v>
      </c>
      <c r="E229" s="8" t="s">
        <v>32</v>
      </c>
    </row>
    <row r="230" customFormat="false" ht="26.85" hidden="false" customHeight="false" outlineLevel="0" collapsed="false">
      <c r="A230" s="8" t="s">
        <v>628</v>
      </c>
      <c r="B230" s="9" t="s">
        <v>629</v>
      </c>
      <c r="C230" s="8" t="s">
        <v>630</v>
      </c>
      <c r="D230" s="8" t="s">
        <v>31</v>
      </c>
      <c r="E230" s="8" t="s">
        <v>32</v>
      </c>
    </row>
    <row r="231" customFormat="false" ht="26.85" hidden="false" customHeight="false" outlineLevel="0" collapsed="false">
      <c r="A231" s="8" t="s">
        <v>631</v>
      </c>
      <c r="B231" s="9" t="s">
        <v>632</v>
      </c>
      <c r="C231" s="8" t="s">
        <v>633</v>
      </c>
      <c r="D231" s="8" t="s">
        <v>31</v>
      </c>
      <c r="E231" s="8" t="s">
        <v>32</v>
      </c>
    </row>
    <row r="232" customFormat="false" ht="26.85" hidden="false" customHeight="false" outlineLevel="0" collapsed="false">
      <c r="A232" s="8" t="s">
        <v>634</v>
      </c>
      <c r="B232" s="9" t="s">
        <v>635</v>
      </c>
      <c r="C232" s="8" t="s">
        <v>636</v>
      </c>
      <c r="D232" s="8" t="s">
        <v>31</v>
      </c>
      <c r="E232" s="8" t="s">
        <v>32</v>
      </c>
    </row>
    <row r="233" customFormat="false" ht="26.85" hidden="false" customHeight="false" outlineLevel="0" collapsed="false">
      <c r="A233" s="8" t="s">
        <v>637</v>
      </c>
      <c r="B233" s="9" t="s">
        <v>638</v>
      </c>
      <c r="C233" s="8" t="s">
        <v>639</v>
      </c>
      <c r="D233" s="8" t="s">
        <v>31</v>
      </c>
      <c r="E233" s="8" t="s">
        <v>32</v>
      </c>
    </row>
    <row r="234" customFormat="false" ht="26.85" hidden="false" customHeight="false" outlineLevel="0" collapsed="false">
      <c r="A234" s="8" t="s">
        <v>640</v>
      </c>
      <c r="B234" s="9" t="s">
        <v>641</v>
      </c>
      <c r="C234" s="8" t="s">
        <v>642</v>
      </c>
      <c r="D234" s="8" t="s">
        <v>31</v>
      </c>
      <c r="E234" s="8" t="s">
        <v>32</v>
      </c>
    </row>
    <row r="235" customFormat="false" ht="26.85" hidden="false" customHeight="false" outlineLevel="0" collapsed="false">
      <c r="A235" s="8" t="s">
        <v>643</v>
      </c>
      <c r="B235" s="9" t="s">
        <v>644</v>
      </c>
      <c r="C235" s="8" t="s">
        <v>645</v>
      </c>
      <c r="D235" s="8" t="s">
        <v>31</v>
      </c>
      <c r="E235" s="8" t="s">
        <v>32</v>
      </c>
    </row>
    <row r="236" customFormat="false" ht="26.85" hidden="false" customHeight="false" outlineLevel="0" collapsed="false">
      <c r="A236" s="8" t="s">
        <v>646</v>
      </c>
      <c r="B236" s="9" t="s">
        <v>647</v>
      </c>
      <c r="C236" s="8" t="s">
        <v>648</v>
      </c>
      <c r="D236" s="8" t="s">
        <v>31</v>
      </c>
      <c r="E236" s="8" t="s">
        <v>32</v>
      </c>
    </row>
    <row r="237" customFormat="false" ht="15" hidden="false" customHeight="false" outlineLevel="0" collapsed="false">
      <c r="A237" s="8" t="s">
        <v>649</v>
      </c>
      <c r="B237" s="9" t="s">
        <v>650</v>
      </c>
      <c r="C237" s="8" t="s">
        <v>651</v>
      </c>
      <c r="D237" s="8" t="s">
        <v>31</v>
      </c>
      <c r="E237" s="8" t="s">
        <v>32</v>
      </c>
    </row>
    <row r="238" customFormat="false" ht="15" hidden="false" customHeight="false" outlineLevel="0" collapsed="false">
      <c r="A238" s="8" t="s">
        <v>652</v>
      </c>
      <c r="B238" s="8" t="s">
        <v>653</v>
      </c>
      <c r="C238" s="8" t="s">
        <v>654</v>
      </c>
      <c r="D238" s="8" t="s">
        <v>31</v>
      </c>
      <c r="E238" s="8" t="s">
        <v>32</v>
      </c>
    </row>
    <row r="239" customFormat="false" ht="15" hidden="false" customHeight="false" outlineLevel="0" collapsed="false">
      <c r="A239" s="8" t="s">
        <v>655</v>
      </c>
      <c r="B239" s="8" t="s">
        <v>653</v>
      </c>
      <c r="C239" s="8" t="s">
        <v>656</v>
      </c>
      <c r="D239" s="8" t="s">
        <v>31</v>
      </c>
      <c r="E239" s="8" t="s">
        <v>32</v>
      </c>
    </row>
    <row r="240" customFormat="false" ht="15" hidden="false" customHeight="false" outlineLevel="0" collapsed="false">
      <c r="A240" s="8" t="s">
        <v>657</v>
      </c>
      <c r="B240" s="8" t="s">
        <v>653</v>
      </c>
      <c r="C240" s="8" t="s">
        <v>658</v>
      </c>
      <c r="D240" s="8" t="s">
        <v>31</v>
      </c>
      <c r="E240" s="8" t="s">
        <v>32</v>
      </c>
    </row>
    <row r="241" customFormat="false" ht="29.85" hidden="false" customHeight="false" outlineLevel="0" collapsed="false">
      <c r="A241" s="8" t="s">
        <v>659</v>
      </c>
      <c r="B241" s="9" t="s">
        <v>660</v>
      </c>
      <c r="C241" s="8" t="s">
        <v>661</v>
      </c>
      <c r="D241" s="8" t="s">
        <v>31</v>
      </c>
      <c r="E241" s="8" t="s">
        <v>32</v>
      </c>
    </row>
    <row r="242" customFormat="false" ht="15" hidden="false" customHeight="false" outlineLevel="0" collapsed="false">
      <c r="A242" s="8" t="s">
        <v>662</v>
      </c>
      <c r="B242" s="9" t="s">
        <v>663</v>
      </c>
      <c r="C242" s="8" t="s">
        <v>664</v>
      </c>
      <c r="D242" s="8" t="s">
        <v>31</v>
      </c>
      <c r="E242" s="8" t="s">
        <v>32</v>
      </c>
    </row>
    <row r="243" customFormat="false" ht="29.85" hidden="false" customHeight="false" outlineLevel="0" collapsed="false">
      <c r="A243" s="8" t="s">
        <v>665</v>
      </c>
      <c r="B243" s="9" t="s">
        <v>666</v>
      </c>
      <c r="C243" s="8" t="s">
        <v>667</v>
      </c>
      <c r="D243" s="8" t="s">
        <v>31</v>
      </c>
      <c r="E243" s="8" t="s">
        <v>32</v>
      </c>
    </row>
    <row r="244" customFormat="false" ht="15" hidden="false" customHeight="false" outlineLevel="0" collapsed="false">
      <c r="A244" s="8" t="s">
        <v>668</v>
      </c>
      <c r="B244" s="9" t="s">
        <v>669</v>
      </c>
      <c r="C244" s="8" t="s">
        <v>670</v>
      </c>
      <c r="D244" s="8" t="s">
        <v>31</v>
      </c>
      <c r="E244" s="8" t="s">
        <v>32</v>
      </c>
    </row>
    <row r="245" customFormat="false" ht="15" hidden="false" customHeight="false" outlineLevel="0" collapsed="false">
      <c r="A245" s="8" t="s">
        <v>671</v>
      </c>
      <c r="B245" s="9" t="s">
        <v>672</v>
      </c>
      <c r="C245" s="8" t="s">
        <v>673</v>
      </c>
      <c r="D245" s="8" t="s">
        <v>31</v>
      </c>
      <c r="E245" s="8" t="s">
        <v>32</v>
      </c>
    </row>
    <row r="246" customFormat="false" ht="15" hidden="false" customHeight="false" outlineLevel="0" collapsed="false">
      <c r="A246" s="8" t="s">
        <v>674</v>
      </c>
      <c r="B246" s="9" t="s">
        <v>675</v>
      </c>
      <c r="C246" s="8" t="s">
        <v>676</v>
      </c>
      <c r="D246" s="8" t="s">
        <v>31</v>
      </c>
      <c r="E246" s="8" t="s">
        <v>32</v>
      </c>
    </row>
    <row r="247" customFormat="false" ht="26.85" hidden="false" customHeight="false" outlineLevel="0" collapsed="false">
      <c r="A247" s="8" t="s">
        <v>677</v>
      </c>
      <c r="B247" s="9" t="s">
        <v>678</v>
      </c>
      <c r="C247" s="8" t="s">
        <v>679</v>
      </c>
      <c r="D247" s="8" t="s">
        <v>31</v>
      </c>
      <c r="E247" s="8" t="s">
        <v>32</v>
      </c>
    </row>
    <row r="248" customFormat="false" ht="26.85" hidden="false" customHeight="false" outlineLevel="0" collapsed="false">
      <c r="A248" s="8" t="s">
        <v>680</v>
      </c>
      <c r="B248" s="9" t="s">
        <v>681</v>
      </c>
      <c r="C248" s="8" t="s">
        <v>682</v>
      </c>
      <c r="D248" s="8" t="s">
        <v>31</v>
      </c>
      <c r="E248" s="8" t="s">
        <v>32</v>
      </c>
    </row>
    <row r="249" customFormat="false" ht="26.85" hidden="false" customHeight="false" outlineLevel="0" collapsed="false">
      <c r="A249" s="8" t="s">
        <v>683</v>
      </c>
      <c r="B249" s="9" t="s">
        <v>684</v>
      </c>
      <c r="C249" s="8" t="s">
        <v>685</v>
      </c>
      <c r="D249" s="8" t="s">
        <v>31</v>
      </c>
      <c r="E249" s="8" t="s">
        <v>32</v>
      </c>
    </row>
    <row r="250" customFormat="false" ht="26.85" hidden="false" customHeight="false" outlineLevel="0" collapsed="false">
      <c r="A250" s="8" t="s">
        <v>686</v>
      </c>
      <c r="B250" s="9" t="s">
        <v>687</v>
      </c>
      <c r="C250" s="8" t="s">
        <v>688</v>
      </c>
      <c r="D250" s="8" t="s">
        <v>31</v>
      </c>
      <c r="E250" s="8" t="s">
        <v>32</v>
      </c>
    </row>
    <row r="251" customFormat="false" ht="15" hidden="false" customHeight="false" outlineLevel="0" collapsed="false">
      <c r="A251" s="8" t="s">
        <v>689</v>
      </c>
      <c r="B251" s="9" t="s">
        <v>690</v>
      </c>
      <c r="C251" s="8" t="s">
        <v>691</v>
      </c>
      <c r="D251" s="8" t="s">
        <v>31</v>
      </c>
      <c r="E251" s="8" t="s">
        <v>32</v>
      </c>
    </row>
    <row r="252" customFormat="false" ht="15" hidden="false" customHeight="false" outlineLevel="0" collapsed="false">
      <c r="A252" s="8" t="s">
        <v>692</v>
      </c>
      <c r="B252" s="9" t="s">
        <v>693</v>
      </c>
      <c r="C252" s="8" t="s">
        <v>694</v>
      </c>
      <c r="D252" s="8" t="s">
        <v>31</v>
      </c>
      <c r="E252" s="8" t="s">
        <v>32</v>
      </c>
    </row>
    <row r="253" customFormat="false" ht="26.85" hidden="false" customHeight="false" outlineLevel="0" collapsed="false">
      <c r="A253" s="8" t="s">
        <v>695</v>
      </c>
      <c r="B253" s="9" t="s">
        <v>696</v>
      </c>
      <c r="C253" s="8" t="s">
        <v>697</v>
      </c>
      <c r="D253" s="8" t="s">
        <v>31</v>
      </c>
      <c r="E253" s="8" t="s">
        <v>32</v>
      </c>
    </row>
    <row r="254" customFormat="false" ht="15" hidden="false" customHeight="false" outlineLevel="0" collapsed="false">
      <c r="A254" s="8" t="s">
        <v>698</v>
      </c>
      <c r="B254" s="9" t="s">
        <v>699</v>
      </c>
      <c r="C254" s="8" t="s">
        <v>700</v>
      </c>
      <c r="D254" s="8" t="s">
        <v>31</v>
      </c>
      <c r="E254" s="8" t="s">
        <v>32</v>
      </c>
    </row>
    <row r="255" customFormat="false" ht="35.05" hidden="false" customHeight="false" outlineLevel="0" collapsed="false">
      <c r="A255" s="8" t="s">
        <v>701</v>
      </c>
      <c r="B255" s="9" t="s">
        <v>702</v>
      </c>
      <c r="C255" s="8" t="s">
        <v>703</v>
      </c>
      <c r="D255" s="8" t="s">
        <v>31</v>
      </c>
      <c r="E255" s="8" t="s">
        <v>32</v>
      </c>
    </row>
    <row r="256" customFormat="false" ht="35.05" hidden="false" customHeight="false" outlineLevel="0" collapsed="false">
      <c r="A256" s="8" t="s">
        <v>704</v>
      </c>
      <c r="B256" s="9" t="s">
        <v>705</v>
      </c>
      <c r="C256" s="8" t="s">
        <v>706</v>
      </c>
      <c r="D256" s="8" t="s">
        <v>31</v>
      </c>
      <c r="E256" s="8" t="s">
        <v>32</v>
      </c>
    </row>
    <row r="257" customFormat="false" ht="35.05" hidden="false" customHeight="false" outlineLevel="0" collapsed="false">
      <c r="A257" s="8" t="s">
        <v>707</v>
      </c>
      <c r="B257" s="9" t="s">
        <v>708</v>
      </c>
      <c r="C257" s="8" t="s">
        <v>709</v>
      </c>
      <c r="D257" s="8" t="s">
        <v>31</v>
      </c>
      <c r="E257" s="8" t="s">
        <v>32</v>
      </c>
    </row>
    <row r="258" customFormat="false" ht="23.85" hidden="false" customHeight="false" outlineLevel="0" collapsed="false">
      <c r="A258" s="8" t="s">
        <v>710</v>
      </c>
      <c r="B258" s="9" t="s">
        <v>711</v>
      </c>
      <c r="C258" s="8" t="s">
        <v>712</v>
      </c>
      <c r="D258" s="8" t="s">
        <v>31</v>
      </c>
      <c r="E258" s="8" t="s">
        <v>32</v>
      </c>
    </row>
    <row r="259" customFormat="false" ht="29.85" hidden="false" customHeight="false" outlineLevel="0" collapsed="false">
      <c r="A259" s="8" t="s">
        <v>713</v>
      </c>
      <c r="B259" s="9" t="s">
        <v>714</v>
      </c>
      <c r="C259" s="8" t="s">
        <v>715</v>
      </c>
      <c r="D259" s="8" t="s">
        <v>31</v>
      </c>
      <c r="E259" s="8" t="s">
        <v>32</v>
      </c>
    </row>
    <row r="260" customFormat="false" ht="29.85" hidden="false" customHeight="false" outlineLevel="0" collapsed="false">
      <c r="A260" s="8" t="s">
        <v>716</v>
      </c>
      <c r="B260" s="9" t="s">
        <v>714</v>
      </c>
      <c r="C260" s="8" t="s">
        <v>715</v>
      </c>
      <c r="D260" s="8" t="s">
        <v>31</v>
      </c>
      <c r="E260" s="8" t="s">
        <v>32</v>
      </c>
    </row>
    <row r="261" customFormat="false" ht="29.85" hidden="false" customHeight="false" outlineLevel="0" collapsed="false">
      <c r="A261" s="8" t="s">
        <v>717</v>
      </c>
      <c r="B261" s="9" t="s">
        <v>718</v>
      </c>
      <c r="C261" s="8" t="s">
        <v>719</v>
      </c>
      <c r="D261" s="8" t="s">
        <v>31</v>
      </c>
      <c r="E261" s="8" t="s">
        <v>32</v>
      </c>
    </row>
    <row r="262" customFormat="false" ht="29.85" hidden="false" customHeight="false" outlineLevel="0" collapsed="false">
      <c r="A262" s="8" t="s">
        <v>720</v>
      </c>
      <c r="B262" s="9" t="s">
        <v>721</v>
      </c>
      <c r="C262" s="8" t="s">
        <v>722</v>
      </c>
      <c r="D262" s="8" t="s">
        <v>31</v>
      </c>
      <c r="E262" s="8" t="s">
        <v>32</v>
      </c>
    </row>
    <row r="263" customFormat="false" ht="29.85" hidden="false" customHeight="false" outlineLevel="0" collapsed="false">
      <c r="A263" s="8" t="s">
        <v>723</v>
      </c>
      <c r="B263" s="9" t="s">
        <v>724</v>
      </c>
      <c r="C263" s="8" t="s">
        <v>725</v>
      </c>
      <c r="D263" s="8" t="s">
        <v>31</v>
      </c>
      <c r="E263" s="8" t="s">
        <v>32</v>
      </c>
    </row>
    <row r="264" customFormat="false" ht="29.85" hidden="false" customHeight="false" outlineLevel="0" collapsed="false">
      <c r="A264" s="8" t="s">
        <v>726</v>
      </c>
      <c r="B264" s="9" t="s">
        <v>727</v>
      </c>
      <c r="C264" s="8" t="s">
        <v>728</v>
      </c>
      <c r="D264" s="8" t="s">
        <v>31</v>
      </c>
      <c r="E264" s="8" t="s">
        <v>32</v>
      </c>
    </row>
    <row r="265" customFormat="false" ht="29.85" hidden="false" customHeight="false" outlineLevel="0" collapsed="false">
      <c r="A265" s="8" t="s">
        <v>729</v>
      </c>
      <c r="B265" s="9" t="s">
        <v>730</v>
      </c>
      <c r="C265" s="8" t="s">
        <v>731</v>
      </c>
      <c r="D265" s="8" t="s">
        <v>31</v>
      </c>
      <c r="E265" s="8" t="s">
        <v>32</v>
      </c>
    </row>
    <row r="266" customFormat="false" ht="15" hidden="false" customHeight="false" outlineLevel="0" collapsed="false">
      <c r="A266" s="8" t="s">
        <v>732</v>
      </c>
      <c r="B266" s="9" t="s">
        <v>733</v>
      </c>
      <c r="C266" s="8" t="s">
        <v>734</v>
      </c>
      <c r="D266" s="8" t="s">
        <v>31</v>
      </c>
      <c r="E266" s="8" t="s">
        <v>32</v>
      </c>
    </row>
    <row r="267" customFormat="false" ht="26.85" hidden="false" customHeight="false" outlineLevel="0" collapsed="false">
      <c r="A267" s="8" t="s">
        <v>735</v>
      </c>
      <c r="B267" s="9" t="s">
        <v>736</v>
      </c>
      <c r="C267" s="8" t="s">
        <v>737</v>
      </c>
      <c r="D267" s="8" t="s">
        <v>31</v>
      </c>
      <c r="E267" s="8" t="s">
        <v>32</v>
      </c>
    </row>
    <row r="268" customFormat="false" ht="15" hidden="false" customHeight="false" outlineLevel="0" collapsed="false">
      <c r="A268" s="8" t="s">
        <v>738</v>
      </c>
      <c r="B268" s="9" t="s">
        <v>739</v>
      </c>
      <c r="C268" s="8" t="s">
        <v>740</v>
      </c>
      <c r="D268" s="8" t="s">
        <v>31</v>
      </c>
      <c r="E268" s="8" t="s">
        <v>32</v>
      </c>
    </row>
    <row r="269" customFormat="false" ht="26.85" hidden="false" customHeight="false" outlineLevel="0" collapsed="false">
      <c r="A269" s="8" t="s">
        <v>741</v>
      </c>
      <c r="B269" s="9" t="s">
        <v>742</v>
      </c>
      <c r="C269" s="8" t="s">
        <v>743</v>
      </c>
      <c r="D269" s="8" t="s">
        <v>31</v>
      </c>
      <c r="E269" s="8" t="s">
        <v>32</v>
      </c>
    </row>
    <row r="270" customFormat="false" ht="15" hidden="false" customHeight="false" outlineLevel="0" collapsed="false">
      <c r="A270" s="8" t="s">
        <v>744</v>
      </c>
      <c r="B270" s="9" t="s">
        <v>745</v>
      </c>
      <c r="C270" s="8" t="s">
        <v>746</v>
      </c>
      <c r="D270" s="8" t="s">
        <v>31</v>
      </c>
      <c r="E270" s="8" t="s">
        <v>32</v>
      </c>
    </row>
    <row r="271" customFormat="false" ht="15" hidden="false" customHeight="false" outlineLevel="0" collapsed="false">
      <c r="A271" s="8" t="s">
        <v>747</v>
      </c>
      <c r="B271" s="9" t="s">
        <v>748</v>
      </c>
      <c r="C271" s="8" t="s">
        <v>749</v>
      </c>
      <c r="D271" s="8" t="s">
        <v>31</v>
      </c>
      <c r="E271" s="8" t="s">
        <v>32</v>
      </c>
    </row>
    <row r="272" customFormat="false" ht="26.85" hidden="false" customHeight="false" outlineLevel="0" collapsed="false">
      <c r="A272" s="8" t="s">
        <v>750</v>
      </c>
      <c r="B272" s="9" t="s">
        <v>751</v>
      </c>
      <c r="C272" s="8" t="s">
        <v>752</v>
      </c>
      <c r="D272" s="8" t="s">
        <v>31</v>
      </c>
      <c r="E272" s="8" t="s">
        <v>32</v>
      </c>
    </row>
    <row r="273" customFormat="false" ht="15" hidden="false" customHeight="false" outlineLevel="0" collapsed="false">
      <c r="A273" s="8" t="s">
        <v>753</v>
      </c>
      <c r="B273" s="9" t="s">
        <v>754</v>
      </c>
      <c r="C273" s="8" t="s">
        <v>755</v>
      </c>
      <c r="D273" s="8" t="s">
        <v>31</v>
      </c>
      <c r="E273" s="8" t="s">
        <v>32</v>
      </c>
    </row>
    <row r="274" customFormat="false" ht="15" hidden="false" customHeight="false" outlineLevel="0" collapsed="false">
      <c r="A274" s="8" t="s">
        <v>756</v>
      </c>
      <c r="B274" s="9" t="s">
        <v>757</v>
      </c>
      <c r="C274" s="8" t="s">
        <v>758</v>
      </c>
      <c r="D274" s="8" t="s">
        <v>31</v>
      </c>
      <c r="E274" s="8" t="s">
        <v>32</v>
      </c>
    </row>
    <row r="275" customFormat="false" ht="15" hidden="false" customHeight="false" outlineLevel="0" collapsed="false">
      <c r="A275" s="8" t="s">
        <v>759</v>
      </c>
      <c r="B275" s="9" t="s">
        <v>760</v>
      </c>
      <c r="C275" s="8" t="s">
        <v>761</v>
      </c>
      <c r="D275" s="8" t="s">
        <v>31</v>
      </c>
      <c r="E275" s="8" t="s">
        <v>32</v>
      </c>
    </row>
    <row r="276" customFormat="false" ht="15" hidden="false" customHeight="false" outlineLevel="0" collapsed="false">
      <c r="A276" s="8" t="s">
        <v>762</v>
      </c>
      <c r="B276" s="9" t="s">
        <v>763</v>
      </c>
      <c r="C276" s="8" t="s">
        <v>764</v>
      </c>
      <c r="D276" s="8" t="s">
        <v>31</v>
      </c>
      <c r="E276" s="8" t="s">
        <v>32</v>
      </c>
    </row>
    <row r="277" customFormat="false" ht="15" hidden="false" customHeight="false" outlineLevel="0" collapsed="false">
      <c r="A277" s="8" t="s">
        <v>765</v>
      </c>
      <c r="B277" s="9" t="s">
        <v>766</v>
      </c>
      <c r="C277" s="8" t="s">
        <v>767</v>
      </c>
      <c r="D277" s="8" t="s">
        <v>31</v>
      </c>
      <c r="E277" s="8" t="s">
        <v>32</v>
      </c>
    </row>
    <row r="278" customFormat="false" ht="15" hidden="false" customHeight="false" outlineLevel="0" collapsed="false">
      <c r="A278" s="8" t="s">
        <v>768</v>
      </c>
      <c r="B278" s="9" t="s">
        <v>769</v>
      </c>
      <c r="C278" s="8" t="s">
        <v>770</v>
      </c>
      <c r="D278" s="8" t="s">
        <v>31</v>
      </c>
      <c r="E278" s="8" t="s">
        <v>32</v>
      </c>
    </row>
    <row r="279" customFormat="false" ht="15" hidden="false" customHeight="false" outlineLevel="0" collapsed="false">
      <c r="A279" s="8" t="s">
        <v>771</v>
      </c>
      <c r="B279" s="9" t="s">
        <v>772</v>
      </c>
      <c r="C279" s="8" t="s">
        <v>773</v>
      </c>
      <c r="D279" s="8" t="s">
        <v>31</v>
      </c>
      <c r="E279" s="8" t="s">
        <v>32</v>
      </c>
    </row>
    <row r="280" customFormat="false" ht="29.85" hidden="false" customHeight="false" outlineLevel="0" collapsed="false">
      <c r="A280" s="8" t="s">
        <v>774</v>
      </c>
      <c r="B280" s="9" t="s">
        <v>775</v>
      </c>
      <c r="C280" s="8" t="s">
        <v>776</v>
      </c>
      <c r="D280" s="8" t="s">
        <v>31</v>
      </c>
      <c r="E280" s="8" t="s">
        <v>32</v>
      </c>
    </row>
    <row r="281" customFormat="false" ht="29.85" hidden="false" customHeight="false" outlineLevel="0" collapsed="false">
      <c r="A281" s="8" t="s">
        <v>777</v>
      </c>
      <c r="B281" s="9" t="s">
        <v>778</v>
      </c>
      <c r="C281" s="8" t="s">
        <v>779</v>
      </c>
      <c r="D281" s="8" t="s">
        <v>31</v>
      </c>
      <c r="E281" s="8" t="s">
        <v>32</v>
      </c>
    </row>
    <row r="282" customFormat="false" ht="29.85" hidden="false" customHeight="false" outlineLevel="0" collapsed="false">
      <c r="A282" s="8" t="s">
        <v>780</v>
      </c>
      <c r="B282" s="9" t="s">
        <v>781</v>
      </c>
      <c r="C282" s="8" t="s">
        <v>782</v>
      </c>
      <c r="D282" s="8" t="s">
        <v>31</v>
      </c>
      <c r="E282" s="8" t="s">
        <v>32</v>
      </c>
    </row>
    <row r="283" customFormat="false" ht="29.85" hidden="false" customHeight="false" outlineLevel="0" collapsed="false">
      <c r="A283" s="8" t="s">
        <v>783</v>
      </c>
      <c r="B283" s="9" t="s">
        <v>784</v>
      </c>
      <c r="C283" s="8" t="s">
        <v>785</v>
      </c>
      <c r="D283" s="8" t="s">
        <v>31</v>
      </c>
      <c r="E283" s="8" t="s">
        <v>32</v>
      </c>
    </row>
    <row r="284" customFormat="false" ht="29.85" hidden="false" customHeight="false" outlineLevel="0" collapsed="false">
      <c r="A284" s="8" t="s">
        <v>786</v>
      </c>
      <c r="B284" s="9" t="s">
        <v>787</v>
      </c>
      <c r="C284" s="8" t="s">
        <v>788</v>
      </c>
      <c r="D284" s="8" t="s">
        <v>31</v>
      </c>
      <c r="E284" s="8" t="s">
        <v>32</v>
      </c>
    </row>
    <row r="285" customFormat="false" ht="29.85" hidden="false" customHeight="false" outlineLevel="0" collapsed="false">
      <c r="A285" s="8" t="s">
        <v>789</v>
      </c>
      <c r="B285" s="9" t="s">
        <v>790</v>
      </c>
      <c r="C285" s="8" t="s">
        <v>791</v>
      </c>
      <c r="D285" s="8" t="s">
        <v>31</v>
      </c>
      <c r="E285" s="8" t="s">
        <v>32</v>
      </c>
    </row>
    <row r="286" customFormat="false" ht="29.85" hidden="false" customHeight="false" outlineLevel="0" collapsed="false">
      <c r="A286" s="8" t="s">
        <v>792</v>
      </c>
      <c r="B286" s="9" t="s">
        <v>793</v>
      </c>
      <c r="C286" s="8" t="s">
        <v>794</v>
      </c>
      <c r="D286" s="8" t="s">
        <v>31</v>
      </c>
      <c r="E286" s="8" t="s">
        <v>32</v>
      </c>
    </row>
    <row r="287" customFormat="false" ht="29.85" hidden="false" customHeight="false" outlineLevel="0" collapsed="false">
      <c r="A287" s="8" t="s">
        <v>795</v>
      </c>
      <c r="B287" s="9" t="s">
        <v>796</v>
      </c>
      <c r="C287" s="8" t="s">
        <v>797</v>
      </c>
      <c r="D287" s="8" t="s">
        <v>31</v>
      </c>
      <c r="E287" s="8" t="s">
        <v>32</v>
      </c>
    </row>
    <row r="288" customFormat="false" ht="29.85" hidden="false" customHeight="false" outlineLevel="0" collapsed="false">
      <c r="A288" s="8" t="s">
        <v>798</v>
      </c>
      <c r="B288" s="9" t="s">
        <v>799</v>
      </c>
      <c r="C288" s="8" t="s">
        <v>800</v>
      </c>
      <c r="D288" s="8" t="s">
        <v>31</v>
      </c>
      <c r="E288" s="8" t="s">
        <v>32</v>
      </c>
    </row>
    <row r="289" customFormat="false" ht="38.05" hidden="false" customHeight="false" outlineLevel="0" collapsed="false">
      <c r="A289" s="8" t="s">
        <v>801</v>
      </c>
      <c r="B289" s="9" t="s">
        <v>802</v>
      </c>
      <c r="C289" s="8" t="s">
        <v>800</v>
      </c>
      <c r="D289" s="8" t="s">
        <v>31</v>
      </c>
      <c r="E289" s="8" t="s">
        <v>32</v>
      </c>
    </row>
    <row r="290" customFormat="false" ht="29.85" hidden="false" customHeight="false" outlineLevel="0" collapsed="false">
      <c r="A290" s="8" t="s">
        <v>803</v>
      </c>
      <c r="B290" s="9" t="s">
        <v>804</v>
      </c>
      <c r="C290" s="8" t="s">
        <v>800</v>
      </c>
      <c r="D290" s="8" t="s">
        <v>31</v>
      </c>
      <c r="E290" s="8" t="s">
        <v>32</v>
      </c>
    </row>
    <row r="291" customFormat="false" ht="29.85" hidden="false" customHeight="false" outlineLevel="0" collapsed="false">
      <c r="A291" s="8" t="s">
        <v>805</v>
      </c>
      <c r="B291" s="9" t="s">
        <v>806</v>
      </c>
      <c r="C291" s="8" t="s">
        <v>800</v>
      </c>
      <c r="D291" s="8" t="s">
        <v>31</v>
      </c>
      <c r="E291" s="8" t="s">
        <v>32</v>
      </c>
    </row>
    <row r="292" customFormat="false" ht="29.85" hidden="false" customHeight="false" outlineLevel="0" collapsed="false">
      <c r="A292" s="8" t="s">
        <v>807</v>
      </c>
      <c r="B292" s="9" t="s">
        <v>808</v>
      </c>
      <c r="C292" s="8" t="s">
        <v>800</v>
      </c>
      <c r="D292" s="8" t="s">
        <v>31</v>
      </c>
      <c r="E292" s="8" t="s">
        <v>32</v>
      </c>
    </row>
    <row r="293" customFormat="false" ht="29.85" hidden="false" customHeight="false" outlineLevel="0" collapsed="false">
      <c r="A293" s="8" t="s">
        <v>809</v>
      </c>
      <c r="B293" s="9" t="s">
        <v>810</v>
      </c>
      <c r="C293" s="8" t="s">
        <v>800</v>
      </c>
      <c r="D293" s="8" t="s">
        <v>31</v>
      </c>
      <c r="E293" s="8" t="s">
        <v>32</v>
      </c>
    </row>
    <row r="294" customFormat="false" ht="29.85" hidden="false" customHeight="false" outlineLevel="0" collapsed="false">
      <c r="A294" s="8" t="s">
        <v>811</v>
      </c>
      <c r="B294" s="9" t="s">
        <v>812</v>
      </c>
      <c r="C294" s="8" t="s">
        <v>800</v>
      </c>
      <c r="D294" s="8" t="s">
        <v>31</v>
      </c>
      <c r="E294" s="8" t="s">
        <v>32</v>
      </c>
    </row>
    <row r="295" customFormat="false" ht="29.85" hidden="false" customHeight="false" outlineLevel="0" collapsed="false">
      <c r="A295" s="8" t="s">
        <v>813</v>
      </c>
      <c r="B295" s="9" t="s">
        <v>814</v>
      </c>
      <c r="C295" s="8" t="s">
        <v>800</v>
      </c>
      <c r="D295" s="8" t="s">
        <v>31</v>
      </c>
      <c r="E295" s="8" t="s">
        <v>32</v>
      </c>
    </row>
    <row r="296" customFormat="false" ht="29.85" hidden="false" customHeight="false" outlineLevel="0" collapsed="false">
      <c r="A296" s="8" t="s">
        <v>815</v>
      </c>
      <c r="B296" s="9" t="s">
        <v>816</v>
      </c>
      <c r="C296" s="8" t="s">
        <v>800</v>
      </c>
      <c r="D296" s="8" t="s">
        <v>31</v>
      </c>
      <c r="E296" s="8" t="s">
        <v>32</v>
      </c>
    </row>
    <row r="297" customFormat="false" ht="38.05" hidden="false" customHeight="false" outlineLevel="0" collapsed="false">
      <c r="A297" s="8" t="s">
        <v>817</v>
      </c>
      <c r="B297" s="9" t="s">
        <v>818</v>
      </c>
      <c r="C297" s="8" t="s">
        <v>800</v>
      </c>
      <c r="D297" s="8" t="s">
        <v>31</v>
      </c>
      <c r="E297" s="8" t="s">
        <v>32</v>
      </c>
    </row>
    <row r="298" customFormat="false" ht="29.85" hidden="false" customHeight="false" outlineLevel="0" collapsed="false">
      <c r="A298" s="8" t="s">
        <v>819</v>
      </c>
      <c r="B298" s="9" t="s">
        <v>820</v>
      </c>
      <c r="C298" s="8" t="s">
        <v>800</v>
      </c>
      <c r="D298" s="8" t="s">
        <v>31</v>
      </c>
      <c r="E298" s="8" t="s">
        <v>32</v>
      </c>
    </row>
    <row r="299" customFormat="false" ht="38.05" hidden="false" customHeight="false" outlineLevel="0" collapsed="false">
      <c r="A299" s="8" t="s">
        <v>821</v>
      </c>
      <c r="B299" s="9" t="s">
        <v>822</v>
      </c>
      <c r="C299" s="8" t="s">
        <v>800</v>
      </c>
      <c r="D299" s="8" t="s">
        <v>31</v>
      </c>
      <c r="E299" s="8" t="s">
        <v>32</v>
      </c>
    </row>
    <row r="300" customFormat="false" ht="38.05" hidden="false" customHeight="false" outlineLevel="0" collapsed="false">
      <c r="A300" s="8" t="s">
        <v>823</v>
      </c>
      <c r="B300" s="9" t="s">
        <v>824</v>
      </c>
      <c r="C300" s="8" t="s">
        <v>800</v>
      </c>
      <c r="D300" s="8" t="s">
        <v>31</v>
      </c>
      <c r="E300" s="8" t="s">
        <v>32</v>
      </c>
    </row>
    <row r="301" customFormat="false" ht="29.85" hidden="false" customHeight="false" outlineLevel="0" collapsed="false">
      <c r="A301" s="8" t="s">
        <v>825</v>
      </c>
      <c r="B301" s="9" t="s">
        <v>826</v>
      </c>
      <c r="C301" s="8" t="s">
        <v>800</v>
      </c>
      <c r="D301" s="8" t="s">
        <v>31</v>
      </c>
      <c r="E301" s="8" t="s">
        <v>32</v>
      </c>
    </row>
    <row r="302" customFormat="false" ht="26.85" hidden="false" customHeight="false" outlineLevel="0" collapsed="false">
      <c r="A302" s="8" t="s">
        <v>827</v>
      </c>
      <c r="B302" s="9" t="s">
        <v>828</v>
      </c>
      <c r="C302" s="8" t="s">
        <v>829</v>
      </c>
      <c r="D302" s="8" t="s">
        <v>31</v>
      </c>
      <c r="E302" s="8" t="s">
        <v>32</v>
      </c>
    </row>
    <row r="303" customFormat="false" ht="26.85" hidden="false" customHeight="false" outlineLevel="0" collapsed="false">
      <c r="A303" s="8" t="s">
        <v>830</v>
      </c>
      <c r="B303" s="9" t="s">
        <v>831</v>
      </c>
      <c r="C303" s="8" t="s">
        <v>832</v>
      </c>
      <c r="D303" s="8" t="s">
        <v>31</v>
      </c>
      <c r="E303" s="8" t="s">
        <v>32</v>
      </c>
    </row>
    <row r="304" customFormat="false" ht="26.85" hidden="false" customHeight="false" outlineLevel="0" collapsed="false">
      <c r="A304" s="8" t="s">
        <v>833</v>
      </c>
      <c r="B304" s="9" t="s">
        <v>834</v>
      </c>
      <c r="C304" s="8" t="s">
        <v>835</v>
      </c>
      <c r="D304" s="8" t="s">
        <v>31</v>
      </c>
      <c r="E304" s="8" t="s">
        <v>32</v>
      </c>
    </row>
    <row r="305" customFormat="false" ht="26.85" hidden="false" customHeight="false" outlineLevel="0" collapsed="false">
      <c r="A305" s="8" t="s">
        <v>836</v>
      </c>
      <c r="B305" s="9" t="s">
        <v>837</v>
      </c>
      <c r="C305" s="8" t="s">
        <v>838</v>
      </c>
      <c r="D305" s="8" t="s">
        <v>31</v>
      </c>
      <c r="E305" s="8" t="s">
        <v>32</v>
      </c>
    </row>
    <row r="306" customFormat="false" ht="23.85" hidden="false" customHeight="false" outlineLevel="0" collapsed="false">
      <c r="A306" s="8" t="s">
        <v>839</v>
      </c>
      <c r="B306" s="9" t="s">
        <v>840</v>
      </c>
      <c r="C306" s="8" t="s">
        <v>841</v>
      </c>
      <c r="D306" s="8" t="s">
        <v>31</v>
      </c>
      <c r="E306" s="8" t="s">
        <v>32</v>
      </c>
    </row>
    <row r="307" customFormat="false" ht="26.85" hidden="false" customHeight="false" outlineLevel="0" collapsed="false">
      <c r="A307" s="8" t="s">
        <v>842</v>
      </c>
      <c r="B307" s="9" t="s">
        <v>843</v>
      </c>
      <c r="C307" s="8" t="s">
        <v>844</v>
      </c>
      <c r="D307" s="8" t="s">
        <v>31</v>
      </c>
      <c r="E307" s="8" t="s">
        <v>32</v>
      </c>
    </row>
    <row r="308" customFormat="false" ht="26.85" hidden="false" customHeight="false" outlineLevel="0" collapsed="false">
      <c r="A308" s="8" t="s">
        <v>845</v>
      </c>
      <c r="B308" s="9" t="s">
        <v>846</v>
      </c>
      <c r="C308" s="8" t="s">
        <v>847</v>
      </c>
      <c r="D308" s="8" t="s">
        <v>31</v>
      </c>
      <c r="E308" s="8" t="s">
        <v>32</v>
      </c>
    </row>
    <row r="309" customFormat="false" ht="15" hidden="false" customHeight="false" outlineLevel="0" collapsed="false">
      <c r="A309" s="11" t="s">
        <v>848</v>
      </c>
      <c r="B309" s="10" t="s">
        <v>849</v>
      </c>
      <c r="C309" s="10" t="s">
        <v>850</v>
      </c>
      <c r="D309" s="10" t="s">
        <v>31</v>
      </c>
      <c r="E309" s="10" t="s">
        <v>32</v>
      </c>
    </row>
    <row r="310" customFormat="false" ht="15" hidden="false" customHeight="false" outlineLevel="0" collapsed="false">
      <c r="A310" s="11" t="s">
        <v>848</v>
      </c>
      <c r="B310" s="10" t="s">
        <v>851</v>
      </c>
      <c r="C310" s="10" t="s">
        <v>850</v>
      </c>
      <c r="D310" s="10" t="s">
        <v>31</v>
      </c>
      <c r="E310" s="10" t="s">
        <v>32</v>
      </c>
    </row>
    <row r="311" customFormat="false" ht="15" hidden="false" customHeight="false" outlineLevel="0" collapsed="false">
      <c r="A311" s="11" t="s">
        <v>848</v>
      </c>
      <c r="B311" s="10" t="s">
        <v>852</v>
      </c>
      <c r="C311" s="10" t="s">
        <v>850</v>
      </c>
      <c r="D311" s="10" t="s">
        <v>31</v>
      </c>
      <c r="E311" s="10" t="s">
        <v>32</v>
      </c>
    </row>
    <row r="312" customFormat="false" ht="58.2" hidden="false" customHeight="false" outlineLevel="0" collapsed="false">
      <c r="A312" s="9" t="s">
        <v>853</v>
      </c>
      <c r="B312" s="9" t="s">
        <v>29</v>
      </c>
      <c r="C312" s="8" t="s">
        <v>30</v>
      </c>
      <c r="D312" s="8" t="s">
        <v>31</v>
      </c>
      <c r="E312" s="8" t="s">
        <v>32</v>
      </c>
    </row>
    <row r="313" customFormat="false" ht="114.9" hidden="false" customHeight="false" outlineLevel="0" collapsed="false">
      <c r="A313" s="9" t="s">
        <v>853</v>
      </c>
      <c r="B313" s="9" t="s">
        <v>854</v>
      </c>
      <c r="C313" s="8" t="s">
        <v>67</v>
      </c>
      <c r="D313" s="8" t="s">
        <v>31</v>
      </c>
      <c r="E313" s="8" t="s">
        <v>32</v>
      </c>
    </row>
    <row r="314" customFormat="false" ht="15" hidden="false" customHeight="false" outlineLevel="0" collapsed="false">
      <c r="A314" s="9" t="s">
        <v>855</v>
      </c>
      <c r="B314" s="9" t="s">
        <v>69</v>
      </c>
      <c r="C314" s="8" t="s">
        <v>189</v>
      </c>
      <c r="D314" s="8" t="s">
        <v>31</v>
      </c>
      <c r="E314" s="8" t="s">
        <v>32</v>
      </c>
    </row>
    <row r="315" customFormat="false" ht="23.85" hidden="false" customHeight="false" outlineLevel="0" collapsed="false">
      <c r="A315" s="9" t="s">
        <v>855</v>
      </c>
      <c r="B315" s="9" t="s">
        <v>856</v>
      </c>
      <c r="C315" s="8" t="s">
        <v>857</v>
      </c>
      <c r="D315" s="8" t="s">
        <v>31</v>
      </c>
      <c r="E315" s="8" t="s">
        <v>32</v>
      </c>
    </row>
    <row r="316" customFormat="false" ht="15" hidden="false" customHeight="false" outlineLevel="0" collapsed="false">
      <c r="A316" s="9" t="s">
        <v>858</v>
      </c>
      <c r="B316" s="9" t="s">
        <v>859</v>
      </c>
      <c r="C316" s="8" t="s">
        <v>860</v>
      </c>
      <c r="D316" s="8" t="s">
        <v>31</v>
      </c>
      <c r="E316" s="8" t="s">
        <v>32</v>
      </c>
    </row>
    <row r="317" customFormat="false" ht="15" hidden="false" customHeight="false" outlineLevel="0" collapsed="false">
      <c r="A317" s="9" t="s">
        <v>861</v>
      </c>
      <c r="B317" s="9" t="s">
        <v>862</v>
      </c>
      <c r="C317" s="8" t="s">
        <v>863</v>
      </c>
      <c r="D317" s="8" t="s">
        <v>31</v>
      </c>
      <c r="E317" s="8" t="s">
        <v>32</v>
      </c>
    </row>
    <row r="318" customFormat="false" ht="15" hidden="false" customHeight="false" outlineLevel="0" collapsed="false">
      <c r="A318" s="9" t="s">
        <v>864</v>
      </c>
      <c r="B318" s="9" t="s">
        <v>865</v>
      </c>
      <c r="C318" s="8" t="s">
        <v>866</v>
      </c>
      <c r="D318" s="8" t="s">
        <v>31</v>
      </c>
      <c r="E318" s="8" t="s">
        <v>32</v>
      </c>
    </row>
    <row r="319" customFormat="false" ht="15" hidden="false" customHeight="false" outlineLevel="0" collapsed="false">
      <c r="A319" s="8" t="s">
        <v>867</v>
      </c>
      <c r="B319" s="9" t="s">
        <v>868</v>
      </c>
      <c r="C319" s="8" t="s">
        <v>869</v>
      </c>
      <c r="D319" s="8" t="s">
        <v>31</v>
      </c>
      <c r="E319" s="8" t="s">
        <v>32</v>
      </c>
    </row>
    <row r="320" customFormat="false" ht="15" hidden="false" customHeight="false" outlineLevel="0" collapsed="false">
      <c r="A320" s="8" t="s">
        <v>111</v>
      </c>
      <c r="B320" s="9" t="s">
        <v>870</v>
      </c>
      <c r="C320" s="8" t="s">
        <v>871</v>
      </c>
      <c r="D320" s="8" t="s">
        <v>31</v>
      </c>
      <c r="E320" s="8" t="s">
        <v>32</v>
      </c>
    </row>
    <row r="321" customFormat="false" ht="66.4" hidden="false" customHeight="false" outlineLevel="0" collapsed="false">
      <c r="A321" s="8" t="s">
        <v>134</v>
      </c>
      <c r="B321" s="9" t="s">
        <v>872</v>
      </c>
      <c r="C321" s="8" t="s">
        <v>873</v>
      </c>
      <c r="D321" s="8" t="s">
        <v>31</v>
      </c>
      <c r="E321" s="8" t="s">
        <v>32</v>
      </c>
    </row>
    <row r="322" customFormat="false" ht="23.85" hidden="false" customHeight="false" outlineLevel="0" collapsed="false">
      <c r="A322" s="8" t="s">
        <v>146</v>
      </c>
      <c r="B322" s="9" t="s">
        <v>874</v>
      </c>
      <c r="C322" s="8" t="s">
        <v>875</v>
      </c>
      <c r="D322" s="8" t="s">
        <v>31</v>
      </c>
      <c r="E322" s="8" t="s">
        <v>32</v>
      </c>
    </row>
    <row r="323" customFormat="false" ht="29.85" hidden="false" customHeight="false" outlineLevel="0" collapsed="false">
      <c r="A323" s="8" t="s">
        <v>876</v>
      </c>
      <c r="B323" s="9" t="s">
        <v>877</v>
      </c>
      <c r="C323" s="8" t="s">
        <v>878</v>
      </c>
      <c r="D323" s="8" t="s">
        <v>31</v>
      </c>
      <c r="E323" s="8" t="s">
        <v>32</v>
      </c>
    </row>
    <row r="324" customFormat="false" ht="77.6" hidden="false" customHeight="false" outlineLevel="0" collapsed="false">
      <c r="A324" s="8" t="s">
        <v>879</v>
      </c>
      <c r="B324" s="9" t="s">
        <v>880</v>
      </c>
      <c r="C324" s="8" t="s">
        <v>881</v>
      </c>
      <c r="D324" s="8" t="s">
        <v>31</v>
      </c>
      <c r="E324" s="8" t="s">
        <v>32</v>
      </c>
    </row>
    <row r="325" customFormat="false" ht="91.75" hidden="false" customHeight="false" outlineLevel="0" collapsed="false">
      <c r="A325" s="8" t="s">
        <v>882</v>
      </c>
      <c r="B325" s="9" t="s">
        <v>883</v>
      </c>
      <c r="C325" s="8" t="s">
        <v>884</v>
      </c>
      <c r="D325" s="8" t="s">
        <v>31</v>
      </c>
      <c r="E325" s="8" t="s">
        <v>32</v>
      </c>
    </row>
    <row r="326" customFormat="false" ht="55.2" hidden="false" customHeight="false" outlineLevel="0" collapsed="false">
      <c r="A326" s="8" t="s">
        <v>885</v>
      </c>
      <c r="B326" s="9" t="s">
        <v>886</v>
      </c>
      <c r="C326" s="8" t="s">
        <v>887</v>
      </c>
      <c r="D326" s="8" t="s">
        <v>31</v>
      </c>
      <c r="E326" s="8" t="s">
        <v>32</v>
      </c>
    </row>
    <row r="327" customFormat="false" ht="29.85" hidden="false" customHeight="false" outlineLevel="0" collapsed="false">
      <c r="A327" s="8" t="s">
        <v>888</v>
      </c>
      <c r="B327" s="9" t="s">
        <v>889</v>
      </c>
      <c r="C327" s="8" t="s">
        <v>890</v>
      </c>
      <c r="D327" s="8" t="s">
        <v>31</v>
      </c>
      <c r="E327" s="8" t="s">
        <v>32</v>
      </c>
    </row>
    <row r="328" customFormat="false" ht="29.85" hidden="false" customHeight="false" outlineLevel="0" collapsed="false">
      <c r="A328" s="10" t="s">
        <v>891</v>
      </c>
      <c r="B328" s="11" t="s">
        <v>892</v>
      </c>
      <c r="C328" s="10" t="s">
        <v>893</v>
      </c>
      <c r="D328" s="10" t="s">
        <v>31</v>
      </c>
      <c r="E328" s="10" t="s">
        <v>32</v>
      </c>
    </row>
    <row r="329" customFormat="false" ht="29.85" hidden="false" customHeight="false" outlineLevel="0" collapsed="false">
      <c r="A329" s="10" t="s">
        <v>894</v>
      </c>
      <c r="B329" s="11" t="s">
        <v>895</v>
      </c>
      <c r="C329" s="10" t="s">
        <v>893</v>
      </c>
      <c r="D329" s="10" t="s">
        <v>31</v>
      </c>
      <c r="E329" s="10" t="s">
        <v>32</v>
      </c>
    </row>
    <row r="330" customFormat="false" ht="29.85" hidden="false" customHeight="false" outlineLevel="0" collapsed="false">
      <c r="A330" s="10" t="s">
        <v>896</v>
      </c>
      <c r="B330" s="11" t="s">
        <v>897</v>
      </c>
      <c r="C330" s="10" t="s">
        <v>893</v>
      </c>
      <c r="D330" s="10" t="s">
        <v>31</v>
      </c>
      <c r="E330" s="10" t="s">
        <v>32</v>
      </c>
    </row>
    <row r="331" customFormat="false" ht="29.85" hidden="false" customHeight="false" outlineLevel="0" collapsed="false">
      <c r="A331" s="10" t="s">
        <v>898</v>
      </c>
      <c r="B331" s="11" t="s">
        <v>899</v>
      </c>
      <c r="C331" s="10" t="s">
        <v>893</v>
      </c>
      <c r="D331" s="10" t="s">
        <v>31</v>
      </c>
      <c r="E331" s="10" t="s">
        <v>32</v>
      </c>
    </row>
    <row r="332" customFormat="false" ht="29.85" hidden="false" customHeight="false" outlineLevel="0" collapsed="false">
      <c r="A332" s="10" t="s">
        <v>900</v>
      </c>
      <c r="B332" s="11" t="s">
        <v>901</v>
      </c>
      <c r="C332" s="10" t="s">
        <v>893</v>
      </c>
      <c r="D332" s="10" t="s">
        <v>31</v>
      </c>
      <c r="E332" s="10" t="s">
        <v>32</v>
      </c>
    </row>
    <row r="333" customFormat="false" ht="29.85" hidden="false" customHeight="false" outlineLevel="0" collapsed="false">
      <c r="A333" s="10" t="s">
        <v>902</v>
      </c>
      <c r="B333" s="11" t="s">
        <v>903</v>
      </c>
      <c r="C333" s="10" t="s">
        <v>893</v>
      </c>
      <c r="D333" s="10" t="s">
        <v>31</v>
      </c>
      <c r="E333" s="10" t="s">
        <v>32</v>
      </c>
    </row>
    <row r="334" customFormat="false" ht="29.85" hidden="false" customHeight="false" outlineLevel="0" collapsed="false">
      <c r="A334" s="10" t="s">
        <v>904</v>
      </c>
      <c r="B334" s="11" t="s">
        <v>905</v>
      </c>
      <c r="C334" s="10" t="s">
        <v>893</v>
      </c>
      <c r="D334" s="10" t="s">
        <v>31</v>
      </c>
      <c r="E334" s="10" t="s">
        <v>32</v>
      </c>
    </row>
    <row r="335" customFormat="false" ht="29.85" hidden="false" customHeight="false" outlineLevel="0" collapsed="false">
      <c r="A335" s="10" t="s">
        <v>906</v>
      </c>
      <c r="B335" s="11" t="s">
        <v>907</v>
      </c>
      <c r="C335" s="10" t="s">
        <v>893</v>
      </c>
      <c r="D335" s="10" t="s">
        <v>31</v>
      </c>
      <c r="E335" s="10" t="s">
        <v>32</v>
      </c>
    </row>
    <row r="336" customFormat="false" ht="29.85" hidden="false" customHeight="false" outlineLevel="0" collapsed="false">
      <c r="A336" s="10" t="s">
        <v>908</v>
      </c>
      <c r="B336" s="11" t="s">
        <v>909</v>
      </c>
      <c r="C336" s="10" t="s">
        <v>893</v>
      </c>
      <c r="D336" s="10" t="s">
        <v>31</v>
      </c>
      <c r="E336" s="10" t="s">
        <v>32</v>
      </c>
    </row>
    <row r="337" customFormat="false" ht="29.85" hidden="false" customHeight="false" outlineLevel="0" collapsed="false">
      <c r="A337" s="10" t="s">
        <v>910</v>
      </c>
      <c r="B337" s="11" t="s">
        <v>911</v>
      </c>
      <c r="C337" s="10" t="s">
        <v>893</v>
      </c>
      <c r="D337" s="10" t="s">
        <v>31</v>
      </c>
      <c r="E337" s="10" t="s">
        <v>32</v>
      </c>
    </row>
    <row r="338" customFormat="false" ht="29.85" hidden="false" customHeight="false" outlineLevel="0" collapsed="false">
      <c r="A338" s="10" t="s">
        <v>912</v>
      </c>
      <c r="B338" s="11" t="s">
        <v>913</v>
      </c>
      <c r="C338" s="10" t="s">
        <v>893</v>
      </c>
      <c r="D338" s="10" t="s">
        <v>31</v>
      </c>
      <c r="E338" s="10" t="s">
        <v>32</v>
      </c>
    </row>
    <row r="339" customFormat="false" ht="29.85" hidden="false" customHeight="false" outlineLevel="0" collapsed="false">
      <c r="A339" s="10" t="s">
        <v>914</v>
      </c>
      <c r="B339" s="11" t="s">
        <v>915</v>
      </c>
      <c r="C339" s="10" t="s">
        <v>893</v>
      </c>
      <c r="D339" s="10" t="s">
        <v>31</v>
      </c>
      <c r="E339" s="10" t="s">
        <v>32</v>
      </c>
    </row>
    <row r="340" customFormat="false" ht="29.85" hidden="false" customHeight="false" outlineLevel="0" collapsed="false">
      <c r="A340" s="11" t="s">
        <v>916</v>
      </c>
      <c r="B340" s="11" t="s">
        <v>917</v>
      </c>
      <c r="C340" s="10" t="s">
        <v>893</v>
      </c>
      <c r="D340" s="10" t="s">
        <v>31</v>
      </c>
      <c r="E340" s="10" t="s">
        <v>32</v>
      </c>
    </row>
    <row r="341" customFormat="false" ht="29.85" hidden="false" customHeight="false" outlineLevel="0" collapsed="false">
      <c r="A341" s="11" t="s">
        <v>918</v>
      </c>
      <c r="B341" s="11" t="s">
        <v>919</v>
      </c>
      <c r="C341" s="10" t="s">
        <v>893</v>
      </c>
      <c r="D341" s="10" t="s">
        <v>31</v>
      </c>
      <c r="E341" s="10" t="s">
        <v>32</v>
      </c>
    </row>
    <row r="342" customFormat="false" ht="29.85" hidden="false" customHeight="false" outlineLevel="0" collapsed="false">
      <c r="A342" s="10" t="s">
        <v>920</v>
      </c>
      <c r="B342" s="11" t="s">
        <v>921</v>
      </c>
      <c r="C342" s="10" t="s">
        <v>893</v>
      </c>
      <c r="D342" s="10" t="s">
        <v>31</v>
      </c>
      <c r="E342" s="10" t="s">
        <v>32</v>
      </c>
    </row>
    <row r="343" customFormat="false" ht="29.85" hidden="false" customHeight="false" outlineLevel="0" collapsed="false">
      <c r="A343" s="10" t="s">
        <v>922</v>
      </c>
      <c r="B343" s="11" t="s">
        <v>923</v>
      </c>
      <c r="C343" s="10" t="s">
        <v>893</v>
      </c>
      <c r="D343" s="10" t="s">
        <v>31</v>
      </c>
      <c r="E343" s="10" t="s">
        <v>32</v>
      </c>
    </row>
    <row r="344" customFormat="false" ht="29.85" hidden="false" customHeight="false" outlineLevel="0" collapsed="false">
      <c r="A344" s="10" t="s">
        <v>924</v>
      </c>
      <c r="B344" s="11" t="s">
        <v>925</v>
      </c>
      <c r="C344" s="10" t="s">
        <v>893</v>
      </c>
      <c r="D344" s="10" t="s">
        <v>31</v>
      </c>
      <c r="E344" s="10" t="s">
        <v>32</v>
      </c>
    </row>
    <row r="345" customFormat="false" ht="29.85" hidden="false" customHeight="false" outlineLevel="0" collapsed="false">
      <c r="A345" s="10" t="s">
        <v>926</v>
      </c>
      <c r="B345" s="11" t="s">
        <v>927</v>
      </c>
      <c r="C345" s="10" t="s">
        <v>893</v>
      </c>
      <c r="D345" s="10" t="s">
        <v>31</v>
      </c>
      <c r="E345" s="10" t="s">
        <v>32</v>
      </c>
    </row>
    <row r="346" customFormat="false" ht="29.85" hidden="false" customHeight="false" outlineLevel="0" collapsed="false">
      <c r="A346" s="10" t="s">
        <v>928</v>
      </c>
      <c r="B346" s="11" t="s">
        <v>929</v>
      </c>
      <c r="C346" s="10" t="s">
        <v>893</v>
      </c>
      <c r="D346" s="10" t="s">
        <v>31</v>
      </c>
      <c r="E346" s="10" t="s">
        <v>32</v>
      </c>
    </row>
    <row r="347" customFormat="false" ht="29.85" hidden="false" customHeight="false" outlineLevel="0" collapsed="false">
      <c r="A347" s="10" t="s">
        <v>930</v>
      </c>
      <c r="B347" s="11" t="s">
        <v>931</v>
      </c>
      <c r="C347" s="10" t="s">
        <v>893</v>
      </c>
      <c r="D347" s="10" t="s">
        <v>31</v>
      </c>
      <c r="E347" s="10" t="s">
        <v>32</v>
      </c>
    </row>
    <row r="348" customFormat="false" ht="29.85" hidden="false" customHeight="false" outlineLevel="0" collapsed="false">
      <c r="A348" s="10" t="s">
        <v>932</v>
      </c>
      <c r="B348" s="11" t="s">
        <v>933</v>
      </c>
      <c r="C348" s="10" t="s">
        <v>893</v>
      </c>
      <c r="D348" s="10" t="s">
        <v>31</v>
      </c>
      <c r="E348" s="10" t="s">
        <v>32</v>
      </c>
    </row>
    <row r="349" customFormat="false" ht="29.85" hidden="false" customHeight="false" outlineLevel="0" collapsed="false">
      <c r="A349" s="10" t="s">
        <v>934</v>
      </c>
      <c r="B349" s="11" t="s">
        <v>935</v>
      </c>
      <c r="C349" s="10" t="s">
        <v>893</v>
      </c>
      <c r="D349" s="10" t="s">
        <v>31</v>
      </c>
      <c r="E349" s="10" t="s">
        <v>32</v>
      </c>
    </row>
    <row r="350" customFormat="false" ht="29.85" hidden="false" customHeight="false" outlineLevel="0" collapsed="false">
      <c r="A350" s="10" t="s">
        <v>936</v>
      </c>
      <c r="B350" s="11" t="s">
        <v>937</v>
      </c>
      <c r="C350" s="10" t="s">
        <v>893</v>
      </c>
      <c r="D350" s="10" t="s">
        <v>31</v>
      </c>
      <c r="E350" s="10" t="s">
        <v>32</v>
      </c>
    </row>
    <row r="351" customFormat="false" ht="29.85" hidden="false" customHeight="false" outlineLevel="0" collapsed="false">
      <c r="A351" s="10" t="s">
        <v>938</v>
      </c>
      <c r="B351" s="11" t="s">
        <v>939</v>
      </c>
      <c r="C351" s="10" t="s">
        <v>893</v>
      </c>
      <c r="D351" s="10" t="s">
        <v>31</v>
      </c>
      <c r="E351" s="10" t="s">
        <v>32</v>
      </c>
    </row>
    <row r="352" customFormat="false" ht="29.85" hidden="false" customHeight="false" outlineLevel="0" collapsed="false">
      <c r="A352" s="10" t="s">
        <v>940</v>
      </c>
      <c r="B352" s="11" t="s">
        <v>941</v>
      </c>
      <c r="C352" s="10" t="s">
        <v>893</v>
      </c>
      <c r="D352" s="10" t="s">
        <v>31</v>
      </c>
      <c r="E352" s="10" t="s">
        <v>32</v>
      </c>
    </row>
    <row r="353" customFormat="false" ht="29.85" hidden="false" customHeight="false" outlineLevel="0" collapsed="false">
      <c r="A353" s="10" t="s">
        <v>942</v>
      </c>
      <c r="B353" s="11" t="s">
        <v>943</v>
      </c>
      <c r="C353" s="10" t="s">
        <v>893</v>
      </c>
      <c r="D353" s="10" t="s">
        <v>31</v>
      </c>
      <c r="E353" s="10" t="s">
        <v>32</v>
      </c>
    </row>
    <row r="354" customFormat="false" ht="29.85" hidden="false" customHeight="false" outlineLevel="0" collapsed="false">
      <c r="A354" s="10" t="s">
        <v>944</v>
      </c>
      <c r="B354" s="11" t="s">
        <v>945</v>
      </c>
      <c r="C354" s="10" t="s">
        <v>893</v>
      </c>
      <c r="D354" s="10" t="s">
        <v>31</v>
      </c>
      <c r="E354" s="10" t="s">
        <v>32</v>
      </c>
    </row>
    <row r="355" customFormat="false" ht="29.85" hidden="false" customHeight="false" outlineLevel="0" collapsed="false">
      <c r="A355" s="11" t="s">
        <v>946</v>
      </c>
      <c r="B355" s="11" t="s">
        <v>947</v>
      </c>
      <c r="C355" s="10" t="s">
        <v>893</v>
      </c>
      <c r="D355" s="10" t="s">
        <v>31</v>
      </c>
      <c r="E355" s="10" t="s">
        <v>32</v>
      </c>
    </row>
    <row r="356" customFormat="false" ht="29.85" hidden="false" customHeight="false" outlineLevel="0" collapsed="false">
      <c r="A356" s="11" t="s">
        <v>948</v>
      </c>
      <c r="B356" s="11" t="s">
        <v>949</v>
      </c>
      <c r="C356" s="10" t="s">
        <v>893</v>
      </c>
      <c r="D356" s="10" t="s">
        <v>31</v>
      </c>
      <c r="E356" s="10" t="s">
        <v>32</v>
      </c>
    </row>
  </sheetData>
  <autoFilter ref="A1:E3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6" min="5" style="0" width="46"/>
  </cols>
  <sheetData>
    <row r="1" customFormat="false" ht="15" hidden="false" customHeight="false" outlineLevel="0" collapsed="false">
      <c r="A1" s="7" t="s">
        <v>950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7" t="s">
        <v>951</v>
      </c>
      <c r="B1" s="7" t="s">
        <v>952</v>
      </c>
    </row>
    <row r="2" customFormat="false" ht="29.85" hidden="false" customHeight="false" outlineLevel="0" collapsed="false">
      <c r="A2" s="9" t="s">
        <v>953</v>
      </c>
      <c r="B2" s="8" t="s">
        <v>954</v>
      </c>
    </row>
    <row r="3" customFormat="false" ht="29.85" hidden="false" customHeight="false" outlineLevel="0" collapsed="false">
      <c r="A3" s="9" t="s">
        <v>955</v>
      </c>
      <c r="B3" s="8" t="s">
        <v>956</v>
      </c>
    </row>
    <row r="4" customFormat="false" ht="15" hidden="false" customHeight="false" outlineLevel="0" collapsed="false">
      <c r="A4" s="9" t="s">
        <v>957</v>
      </c>
      <c r="B4" s="8" t="s">
        <v>958</v>
      </c>
    </row>
    <row r="5" customFormat="false" ht="15" hidden="false" customHeight="false" outlineLevel="0" collapsed="false">
      <c r="A5" s="9" t="s">
        <v>959</v>
      </c>
      <c r="B5" s="8" t="s">
        <v>960</v>
      </c>
    </row>
    <row r="6" customFormat="false" ht="29.85" hidden="false" customHeight="false" outlineLevel="0" collapsed="false">
      <c r="A6" s="9" t="s">
        <v>961</v>
      </c>
      <c r="B6" s="8" t="s">
        <v>962</v>
      </c>
    </row>
    <row r="7" customFormat="false" ht="29.85" hidden="false" customHeight="false" outlineLevel="0" collapsed="false">
      <c r="A7" s="9" t="s">
        <v>963</v>
      </c>
      <c r="B7" s="8" t="s">
        <v>964</v>
      </c>
    </row>
    <row r="8" customFormat="false" ht="15" hidden="false" customHeight="false" outlineLevel="0" collapsed="false">
      <c r="A8" s="8" t="s">
        <v>965</v>
      </c>
      <c r="B8" s="8" t="s">
        <v>966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6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7" t="s">
        <v>23</v>
      </c>
      <c r="B1" s="7" t="s">
        <v>967</v>
      </c>
      <c r="C1" s="7" t="s">
        <v>968</v>
      </c>
      <c r="D1" s="7" t="s">
        <v>969</v>
      </c>
    </row>
    <row r="2" customFormat="false" ht="29.85" hidden="false" customHeight="false" outlineLevel="0" collapsed="false">
      <c r="A2" s="9" t="s">
        <v>970</v>
      </c>
      <c r="B2" s="8" t="s">
        <v>971</v>
      </c>
      <c r="C2" s="8" t="s">
        <v>972</v>
      </c>
      <c r="D2" s="9" t="s">
        <v>973</v>
      </c>
    </row>
    <row r="3" customFormat="false" ht="15" hidden="false" customHeight="false" outlineLevel="0" collapsed="false">
      <c r="A3" s="8" t="s">
        <v>38</v>
      </c>
      <c r="B3" s="9" t="s">
        <v>974</v>
      </c>
      <c r="C3" s="9" t="s">
        <v>975</v>
      </c>
      <c r="D3" s="8" t="s">
        <v>976</v>
      </c>
    </row>
    <row r="4" customFormat="false" ht="15" hidden="false" customHeight="false" outlineLevel="0" collapsed="false">
      <c r="A4" s="8" t="s">
        <v>134</v>
      </c>
      <c r="B4" s="9" t="s">
        <v>977</v>
      </c>
      <c r="C4" s="9" t="s">
        <v>978</v>
      </c>
      <c r="D4" s="9" t="s">
        <v>979</v>
      </c>
    </row>
    <row r="5" customFormat="false" ht="15" hidden="false" customHeight="false" outlineLevel="0" collapsed="false">
      <c r="A5" s="8" t="s">
        <v>277</v>
      </c>
      <c r="B5" s="9" t="s">
        <v>980</v>
      </c>
      <c r="C5" s="9" t="s">
        <v>981</v>
      </c>
      <c r="D5" s="8" t="s">
        <v>982</v>
      </c>
    </row>
    <row r="6" customFormat="false" ht="15" hidden="false" customHeight="false" outlineLevel="0" collapsed="false">
      <c r="A6" s="8" t="s">
        <v>283</v>
      </c>
      <c r="B6" s="9" t="s">
        <v>983</v>
      </c>
      <c r="C6" s="9" t="s">
        <v>984</v>
      </c>
      <c r="D6" s="8" t="s">
        <v>982</v>
      </c>
    </row>
    <row r="7" customFormat="false" ht="15" hidden="false" customHeight="false" outlineLevel="0" collapsed="false">
      <c r="A7" s="8" t="s">
        <v>985</v>
      </c>
      <c r="B7" s="9" t="s">
        <v>986</v>
      </c>
      <c r="C7" s="9" t="s">
        <v>987</v>
      </c>
      <c r="D7" s="8" t="s">
        <v>988</v>
      </c>
    </row>
    <row r="8" customFormat="false" ht="15" hidden="false" customHeight="false" outlineLevel="0" collapsed="false">
      <c r="A8" s="8" t="s">
        <v>111</v>
      </c>
      <c r="B8" s="9" t="s">
        <v>989</v>
      </c>
      <c r="C8" s="9" t="s">
        <v>990</v>
      </c>
      <c r="D8" s="8" t="s">
        <v>991</v>
      </c>
    </row>
    <row r="9" customFormat="false" ht="15" hidden="false" customHeight="false" outlineLevel="0" collapsed="false">
      <c r="A9" s="8" t="s">
        <v>992</v>
      </c>
      <c r="B9" s="9" t="s">
        <v>993</v>
      </c>
      <c r="C9" s="9" t="s">
        <v>69</v>
      </c>
      <c r="D9" s="9" t="s">
        <v>994</v>
      </c>
    </row>
    <row r="10" customFormat="false" ht="15" hidden="false" customHeight="false" outlineLevel="0" collapsed="false">
      <c r="A10" s="8" t="s">
        <v>127</v>
      </c>
      <c r="B10" s="9" t="s">
        <v>995</v>
      </c>
      <c r="C10" s="9" t="s">
        <v>996</v>
      </c>
      <c r="D10" s="8" t="s">
        <v>997</v>
      </c>
    </row>
    <row r="11" customFormat="false" ht="15" hidden="false" customHeight="false" outlineLevel="0" collapsed="false">
      <c r="A11" s="8" t="s">
        <v>146</v>
      </c>
      <c r="B11" s="9" t="s">
        <v>998</v>
      </c>
      <c r="C11" s="9" t="s">
        <v>999</v>
      </c>
      <c r="D11" s="8" t="s">
        <v>1000</v>
      </c>
    </row>
    <row r="12" customFormat="false" ht="15" hidden="false" customHeight="false" outlineLevel="0" collapsed="false">
      <c r="A12" s="8" t="s">
        <v>368</v>
      </c>
      <c r="B12" s="9" t="s">
        <v>1001</v>
      </c>
      <c r="C12" s="8" t="s">
        <v>1002</v>
      </c>
      <c r="D12" s="9" t="s">
        <v>1003</v>
      </c>
    </row>
    <row r="13" customFormat="false" ht="15" hidden="false" customHeight="false" outlineLevel="0" collapsed="false">
      <c r="A13" s="8" t="s">
        <v>382</v>
      </c>
      <c r="B13" s="8" t="s">
        <v>1004</v>
      </c>
      <c r="C13" s="9" t="s">
        <v>1005</v>
      </c>
      <c r="D13" s="8" t="s">
        <v>1006</v>
      </c>
    </row>
    <row r="14" customFormat="false" ht="15" hidden="false" customHeight="false" outlineLevel="0" collapsed="false">
      <c r="A14" s="8" t="s">
        <v>385</v>
      </c>
      <c r="B14" s="9" t="s">
        <v>1007</v>
      </c>
      <c r="C14" s="9" t="s">
        <v>1008</v>
      </c>
      <c r="D14" s="9" t="s">
        <v>1009</v>
      </c>
    </row>
    <row r="15" customFormat="false" ht="15" hidden="false" customHeight="false" outlineLevel="0" collapsed="false">
      <c r="A15" s="8" t="s">
        <v>397</v>
      </c>
      <c r="B15" s="9" t="s">
        <v>1010</v>
      </c>
      <c r="C15" s="8" t="s">
        <v>1011</v>
      </c>
      <c r="D15" s="9" t="s">
        <v>1012</v>
      </c>
    </row>
    <row r="16" customFormat="false" ht="15" hidden="false" customHeight="false" outlineLevel="0" collapsed="false">
      <c r="A16" s="8" t="s">
        <v>406</v>
      </c>
      <c r="B16" s="9" t="s">
        <v>1013</v>
      </c>
      <c r="C16" s="9" t="s">
        <v>1014</v>
      </c>
      <c r="D16" s="8" t="s">
        <v>1015</v>
      </c>
    </row>
    <row r="17" customFormat="false" ht="15" hidden="false" customHeight="false" outlineLevel="0" collapsed="false">
      <c r="A17" s="8" t="s">
        <v>1016</v>
      </c>
      <c r="B17" s="9" t="s">
        <v>1017</v>
      </c>
      <c r="C17" s="9" t="s">
        <v>1018</v>
      </c>
      <c r="D17" s="9" t="s">
        <v>1019</v>
      </c>
    </row>
    <row r="18" customFormat="false" ht="15" hidden="false" customHeight="false" outlineLevel="0" collapsed="false">
      <c r="A18" s="8" t="s">
        <v>1020</v>
      </c>
      <c r="B18" s="9" t="s">
        <v>1021</v>
      </c>
      <c r="C18" s="9" t="s">
        <v>1022</v>
      </c>
      <c r="D18" s="8" t="s">
        <v>1023</v>
      </c>
    </row>
    <row r="19" customFormat="false" ht="29.85" hidden="false" customHeight="false" outlineLevel="0" collapsed="false">
      <c r="A19" s="8" t="s">
        <v>1024</v>
      </c>
      <c r="B19" s="9" t="s">
        <v>1025</v>
      </c>
      <c r="C19" s="9" t="s">
        <v>1026</v>
      </c>
      <c r="D19" s="8" t="s">
        <v>1027</v>
      </c>
    </row>
    <row r="20" customFormat="false" ht="29.85" hidden="false" customHeight="false" outlineLevel="0" collapsed="false">
      <c r="A20" s="8" t="s">
        <v>1028</v>
      </c>
      <c r="B20" s="9" t="s">
        <v>1029</v>
      </c>
      <c r="C20" s="9" t="s">
        <v>1030</v>
      </c>
      <c r="D20" s="8" t="s">
        <v>1031</v>
      </c>
    </row>
    <row r="21" customFormat="false" ht="29.85" hidden="false" customHeight="false" outlineLevel="0" collapsed="false">
      <c r="A21" s="8" t="s">
        <v>1032</v>
      </c>
      <c r="B21" s="9" t="s">
        <v>1033</v>
      </c>
      <c r="C21" s="9" t="s">
        <v>1034</v>
      </c>
      <c r="D21" s="8" t="s">
        <v>1035</v>
      </c>
    </row>
    <row r="22" customFormat="false" ht="23.85" hidden="false" customHeight="false" outlineLevel="0" collapsed="false">
      <c r="A22" s="8" t="s">
        <v>1036</v>
      </c>
      <c r="B22" s="9" t="s">
        <v>1037</v>
      </c>
      <c r="C22" s="8" t="s">
        <v>1038</v>
      </c>
      <c r="D22" s="8" t="s">
        <v>1039</v>
      </c>
    </row>
    <row r="23" customFormat="false" ht="23.85" hidden="false" customHeight="false" outlineLevel="0" collapsed="false">
      <c r="A23" s="8" t="s">
        <v>1040</v>
      </c>
      <c r="B23" s="9" t="s">
        <v>1041</v>
      </c>
      <c r="C23" s="8" t="s">
        <v>1042</v>
      </c>
      <c r="D23" s="8" t="s">
        <v>1043</v>
      </c>
    </row>
    <row r="24" customFormat="false" ht="23.85" hidden="false" customHeight="false" outlineLevel="0" collapsed="false">
      <c r="A24" s="8" t="s">
        <v>1044</v>
      </c>
      <c r="B24" s="9" t="s">
        <v>1045</v>
      </c>
      <c r="C24" s="9" t="s">
        <v>1046</v>
      </c>
      <c r="D24" s="8" t="s">
        <v>1047</v>
      </c>
    </row>
    <row r="25" customFormat="false" ht="26.85" hidden="false" customHeight="false" outlineLevel="0" collapsed="false">
      <c r="A25" s="8" t="s">
        <v>1048</v>
      </c>
      <c r="B25" s="9" t="s">
        <v>1049</v>
      </c>
      <c r="C25" s="8" t="s">
        <v>1038</v>
      </c>
      <c r="D25" s="8" t="s">
        <v>1050</v>
      </c>
    </row>
    <row r="26" customFormat="false" ht="44" hidden="false" customHeight="false" outlineLevel="0" collapsed="false">
      <c r="A26" s="8" t="s">
        <v>1051</v>
      </c>
      <c r="B26" s="9" t="s">
        <v>100</v>
      </c>
      <c r="C26" s="8" t="s">
        <v>1052</v>
      </c>
      <c r="D26" s="8" t="s">
        <v>1053</v>
      </c>
    </row>
    <row r="27" customFormat="false" ht="44" hidden="false" customHeight="false" outlineLevel="0" collapsed="false">
      <c r="A27" s="8" t="s">
        <v>1054</v>
      </c>
      <c r="B27" s="9" t="s">
        <v>1055</v>
      </c>
      <c r="C27" s="9" t="s">
        <v>1056</v>
      </c>
      <c r="D27" s="8" t="s">
        <v>1057</v>
      </c>
    </row>
    <row r="28" customFormat="false" ht="15" hidden="false" customHeight="false" outlineLevel="0" collapsed="false">
      <c r="A28" s="8" t="s">
        <v>1058</v>
      </c>
      <c r="B28" s="9" t="s">
        <v>100</v>
      </c>
      <c r="C28" s="8" t="s">
        <v>1059</v>
      </c>
      <c r="D28" s="8" t="s">
        <v>1060</v>
      </c>
    </row>
    <row r="29" customFormat="false" ht="55.2" hidden="false" customHeight="false" outlineLevel="0" collapsed="false">
      <c r="A29" s="8" t="s">
        <v>1061</v>
      </c>
      <c r="B29" s="9" t="s">
        <v>1062</v>
      </c>
      <c r="C29" s="9" t="s">
        <v>1063</v>
      </c>
      <c r="D29" s="8" t="s">
        <v>1064</v>
      </c>
    </row>
    <row r="30" customFormat="false" ht="29.85" hidden="false" customHeight="false" outlineLevel="0" collapsed="false">
      <c r="A30" s="8" t="s">
        <v>1065</v>
      </c>
      <c r="B30" s="9" t="s">
        <v>1066</v>
      </c>
      <c r="C30" s="9" t="s">
        <v>1067</v>
      </c>
      <c r="D30" s="8" t="s">
        <v>1068</v>
      </c>
    </row>
    <row r="31" customFormat="false" ht="58.2" hidden="false" customHeight="false" outlineLevel="0" collapsed="false">
      <c r="A31" s="8" t="s">
        <v>1069</v>
      </c>
      <c r="B31" s="9" t="s">
        <v>1070</v>
      </c>
      <c r="C31" s="9" t="s">
        <v>1071</v>
      </c>
      <c r="D31" s="8" t="s">
        <v>1072</v>
      </c>
    </row>
    <row r="32" customFormat="false" ht="15" hidden="false" customHeight="false" outlineLevel="0" collapsed="false">
      <c r="A32" s="8" t="s">
        <v>1073</v>
      </c>
      <c r="B32" s="9" t="s">
        <v>1074</v>
      </c>
      <c r="C32" s="9" t="s">
        <v>1075</v>
      </c>
      <c r="D32" s="9" t="s">
        <v>1076</v>
      </c>
    </row>
    <row r="33" customFormat="false" ht="69.4" hidden="false" customHeight="false" outlineLevel="0" collapsed="false">
      <c r="A33" s="8" t="s">
        <v>1077</v>
      </c>
      <c r="B33" s="9" t="s">
        <v>1078</v>
      </c>
      <c r="C33" s="9" t="s">
        <v>1079</v>
      </c>
      <c r="D33" s="8" t="s">
        <v>1080</v>
      </c>
    </row>
    <row r="34" customFormat="false" ht="15" hidden="false" customHeight="false" outlineLevel="0" collapsed="false">
      <c r="A34" s="8" t="s">
        <v>1081</v>
      </c>
      <c r="B34" s="9" t="s">
        <v>1082</v>
      </c>
      <c r="C34" s="8" t="s">
        <v>1083</v>
      </c>
      <c r="D34" s="9" t="s">
        <v>1084</v>
      </c>
    </row>
  </sheetData>
  <autoFilter ref="A1:D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2026-10-14T01:58:19Z</dcterms:created>
  <dc:creator>openpyxl</dc:creator>
  <dc:description/>
  <dc:language>en-US</dc:language>
  <cp:lastModifiedBy/>
  <dcterms:modified xsi:type="dcterms:W3CDTF">2026-10-14T01:58:19Z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