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待核清单" sheetId="2" state="visible" r:id="rId2"/>
    <sheet xmlns:r="http://schemas.openxmlformats.org/officeDocument/2006/relationships" name="报告全文" sheetId="3" state="visible" r:id="rId3"/>
    <sheet xmlns:r="http://schemas.openxmlformats.org/officeDocument/2006/relationships" name="影响测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2"/>
    </font>
    <font>
      <name val="Arial"/>
      <i val="1"/>
      <sz val="9"/>
    </font>
    <font>
      <name val="Arial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6" customWidth="1" min="3" max="3"/>
  </cols>
  <sheetData>
    <row r="1">
      <c r="B1" s="1" t="inlineStr">
        <is>
          <t>待核标签清单：最终标签为阳性、但导出报告文本中找不到依据的 9 例</t>
        </is>
      </c>
    </row>
    <row r="3">
      <c r="B3" s="2" t="inlineStr">
        <is>
          <t>这份清单是怎么来的</t>
        </is>
      </c>
    </row>
    <row r="4" ht="28" customHeight="1">
      <c r="B4" s="3" t="inlineStr">
        <is>
          <t>来源</t>
        </is>
      </c>
      <c r="C4" s="4" t="inlineStr">
        <is>
          <t>对全部 740 个索引检查次（患者×模态）做双向核对：判阳性的，文本里有没有诊断名或该模态征象；判阴性的，文本里有没有点名诊断。脚本 analysis/labelaudit.py，可复跑。</t>
        </is>
      </c>
    </row>
    <row r="5" ht="28" customHeight="1">
      <c r="B5" s="3" t="inlineStr">
        <is>
          <t>结果</t>
        </is>
      </c>
      <c r="C5" s="4" t="inlineStr">
        <is>
          <t>判阳性而文本无支持 9 例；反方向 0 例。唯一一例判阴性而文本含诊断名者，原文写的是「未探及明显"肠旋转不良"征象」，属明确否定，判阴性正确。</t>
        </is>
      </c>
    </row>
    <row r="6" ht="28" customHeight="1">
      <c r="B6" s="3" t="inlineStr">
        <is>
          <t>重要限制</t>
        </is>
      </c>
      <c r="C6" s="4" t="inlineStr">
        <is>
          <t>词面正则看不见「描述了征象但没点名」的写法，这正是 Online Resource 1 G 节列的失败模式 (ii)。所以被标记出来的是待读的病例，不是已证实的错误——二档四例读下来很可能裁定是对的。</t>
        </is>
      </c>
    </row>
    <row r="8">
      <c r="B8" s="2" t="inlineStr">
        <is>
          <t>三个分档</t>
        </is>
      </c>
    </row>
    <row r="9" ht="15" customHeight="1">
      <c r="B9" s="3" t="inlineStr">
        <is>
          <t>一档 高度可疑</t>
        </is>
      </c>
      <c r="C9" s="4" t="inlineStr">
        <is>
          <t>该模态全部术前报告中没有任何旋转相关内容。3 例。建议优先核这三例。</t>
        </is>
      </c>
    </row>
    <row r="10" ht="15" customHeight="1">
      <c r="B10" s="3" t="inlineStr">
        <is>
          <t>二档 可能是对的</t>
        </is>
      </c>
      <c r="C10" s="4" t="inlineStr">
        <is>
          <t>报告用形态学语言描述了征象，只是没用「漩涡」这类词，或提及了正文判据未收录的征象。4 例。</t>
        </is>
      </c>
    </row>
    <row r="11" ht="28" customHeight="1">
      <c r="B11" s="3" t="inlineStr">
        <is>
          <t>三档 已有解释</t>
        </is>
      </c>
      <c r="C11" s="4" t="inlineStr">
        <is>
          <t>一例结论仅为交叉引用、被引报告不在导出数据中；一例漩涡征记录在更早一次同模态检查上，Online Resource 1 H 节已披露。2 例。</t>
        </is>
      </c>
    </row>
    <row r="13">
      <c r="B13" s="2" t="inlineStr">
        <is>
          <t>请你填哪几列</t>
        </is>
      </c>
    </row>
    <row r="14" ht="28" customHeight="1">
      <c r="B14" s="3" t="inlineStr">
        <is>
          <t>「待核清单」工作表</t>
        </is>
      </c>
      <c r="C14" s="4" t="inlineStr">
        <is>
          <t>黄色底的三列由你填写：J 列「核对结论」用下拉选择；K 列「实际依据」写清当时判阳性的根据；L 列「备注」可选。其余列请勿改动，「影响测算」工作表按 J 列自动重算。</t>
        </is>
      </c>
    </row>
    <row r="15" ht="41" customHeight="1">
      <c r="B15" s="3" t="inlineStr">
        <is>
          <t>填写示例</t>
        </is>
      </c>
      <c r="C15" s="4" t="inlineStr">
        <is>
          <t>假设第 4 行（患者 4331826）你查病历后确认超声/CT 当时确实没报出旋转不良：J 列选「确为错标（改为阴性）」，K 列填「病历核对：术前 CT 报告未提及旋转不良，诊断由术中所见确立」，L 列填「2026-09-06 由 XXX 核」。</t>
        </is>
      </c>
    </row>
    <row r="17">
      <c r="B17" s="2" t="inlineStr">
        <is>
          <t>核完之后</t>
        </is>
      </c>
    </row>
    <row r="18" ht="28" customHeight="1">
      <c r="B18" s="3" t="inlineStr">
        <is>
          <t>下一步</t>
        </is>
      </c>
      <c r="C18" s="4" t="inlineStr">
        <is>
          <t>把填好的表发回给我。凡标记为「确为错标」的，我会改动裁定矩阵对应单元格、重跑全部分析，并同步摘要、正文、四张表、三张图与全部模型。标记为「裁定正确」的，我会在 Methods 里补一句说明形态学描述经裁定后同样计为阳性，使定义与标签一致。</t>
        </is>
      </c>
    </row>
    <row r="19" ht="15" customHeight="1">
      <c r="B19" s="3" t="inlineStr">
        <is>
          <t>数据出处</t>
        </is>
      </c>
      <c r="C19" s="4" t="inlineStr">
        <is>
          <t>报告原文取自 全部肠旋转不良数据.xlsx；最终标签取自 诊断效能_逐患者矩阵_当前版v3.xlsx。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9" customWidth="1" min="4" max="4"/>
    <col width="15" customWidth="1" min="5" max="5"/>
    <col width="34" customWidth="1" min="6" max="6"/>
    <col width="46" customWidth="1" min="7" max="7"/>
    <col width="9" customWidth="1" min="8" max="8"/>
    <col width="2" customWidth="1" min="9" max="9"/>
    <col width="20" customWidth="1" min="10" max="10"/>
    <col width="34" customWidth="1" min="11" max="11"/>
    <col width="16" customWidth="1" min="12" max="12"/>
  </cols>
  <sheetData>
    <row r="1" ht="30" customHeight="1">
      <c r="A1" s="5" t="inlineStr">
        <is>
          <t>序号</t>
        </is>
      </c>
      <c r="B1" s="5" t="inlineStr">
        <is>
          <t>患者编号</t>
        </is>
      </c>
      <c r="C1" s="5" t="inlineStr">
        <is>
          <t>模态</t>
        </is>
      </c>
      <c r="D1" s="5" t="inlineStr">
        <is>
          <t>术前该模态报告数</t>
        </is>
      </c>
      <c r="E1" s="5" t="inlineStr">
        <is>
          <t>分档</t>
        </is>
      </c>
      <c r="F1" s="5" t="inlineStr">
        <is>
          <t>标记原因</t>
        </is>
      </c>
      <c r="G1" s="5" t="inlineStr">
        <is>
          <t>索引检查次结论原文</t>
        </is>
      </c>
      <c r="H1" s="5" t="inlineStr">
        <is>
          <t>现最终标签</t>
        </is>
      </c>
      <c r="I1" s="5" t="inlineStr"/>
      <c r="J1" s="5" t="inlineStr">
        <is>
          <t>核对结论</t>
        </is>
      </c>
      <c r="K1" s="5" t="inlineStr">
        <is>
          <t>实际依据</t>
        </is>
      </c>
      <c r="L1" s="5" t="inlineStr">
        <is>
          <t>备注</t>
        </is>
      </c>
    </row>
    <row r="2" ht="58" customHeight="1">
      <c r="A2" s="6" t="n">
        <v>1</v>
      </c>
      <c r="B2" s="6" t="n">
        <v>8325283</v>
      </c>
      <c r="C2" s="6" t="inlineStr">
        <is>
          <t>UGI</t>
        </is>
      </c>
      <c r="D2" s="6" t="n">
        <v>1</v>
      </c>
      <c r="E2" s="7" t="inlineStr">
        <is>
          <t>二档 可能是对的</t>
        </is>
      </c>
      <c r="F2" s="6" t="inlineStr">
        <is>
          <t>结论提及"空肠位于中腹偏右侧"，属正文判据未收录的征象</t>
        </is>
      </c>
      <c r="G2" s="6" t="inlineStr">
        <is>
          <t>空肠位于中腹偏右侧，未见明显梗阻征象，建议必要时追踪复查。</t>
        </is>
      </c>
      <c r="H2" s="6" t="inlineStr">
        <is>
          <t>阳性</t>
        </is>
      </c>
      <c r="I2" s="6" t="inlineStr"/>
      <c r="J2" s="8" t="inlineStr"/>
      <c r="K2" s="8" t="inlineStr"/>
      <c r="L2" s="8" t="inlineStr"/>
    </row>
    <row r="3" ht="58" customHeight="1">
      <c r="A3" s="6" t="n">
        <v>2</v>
      </c>
      <c r="B3" s="6" t="n">
        <v>442644</v>
      </c>
      <c r="C3" s="6" t="inlineStr">
        <is>
          <t>CT</t>
        </is>
      </c>
      <c r="D3" s="6" t="n">
        <v>1</v>
      </c>
      <c r="E3" s="7" t="inlineStr">
        <is>
          <t>二档 可能是对的</t>
        </is>
      </c>
      <c r="F3" s="6" t="inlineStr">
        <is>
          <t>所见描述"肠系膜上动脉…形成一类环形表现，周围肠管环绕分布"，是漩涡的形态学描述</t>
        </is>
      </c>
      <c r="G3" s="6" t="inlineStr">
        <is>
          <t>右侧中下腹部肠间隙模糊，腹膜炎、腹腔积液，请结合临床除外腹内疝。</t>
        </is>
      </c>
      <c r="H3" s="6" t="inlineStr">
        <is>
          <t>阳性</t>
        </is>
      </c>
      <c r="I3" s="6" t="inlineStr"/>
      <c r="J3" s="8" t="inlineStr"/>
      <c r="K3" s="8" t="inlineStr"/>
      <c r="L3" s="8" t="inlineStr"/>
    </row>
    <row r="4" ht="58" customHeight="1">
      <c r="A4" s="6" t="n">
        <v>3</v>
      </c>
      <c r="B4" s="6" t="n">
        <v>3824467</v>
      </c>
      <c r="C4" s="6" t="inlineStr">
        <is>
          <t>CT</t>
        </is>
      </c>
      <c r="D4" s="6" t="n">
        <v>2</v>
      </c>
      <c r="E4" s="7" t="inlineStr">
        <is>
          <t>二档 可能是对的</t>
        </is>
      </c>
      <c r="F4" s="6" t="inlineStr">
        <is>
          <t>结论提及"系膜血管走行紊乱…包绕系膜血管"</t>
        </is>
      </c>
      <c r="G4" s="6" t="inlineStr">
        <is>
          <t>肠梗阻，肠管积液，腹腔积液，部分肠壁水肿增厚；肠系膜上动脉约中份未显影，部分系膜血管走行紊乱，肠系膜肿胀增厚，包绕系膜血管。仍考虑坏死性肠炎，与前（2016.1.7）相仿。右侧胸腔积液。请结合临床。</t>
        </is>
      </c>
      <c r="H4" s="6" t="inlineStr">
        <is>
          <t>阳性</t>
        </is>
      </c>
      <c r="I4" s="6" t="inlineStr"/>
      <c r="J4" s="8" t="inlineStr"/>
      <c r="K4" s="8" t="inlineStr"/>
      <c r="L4" s="8" t="inlineStr"/>
    </row>
    <row r="5" ht="58" customHeight="1">
      <c r="A5" s="6" t="n">
        <v>4</v>
      </c>
      <c r="B5" s="6" t="n">
        <v>4331826</v>
      </c>
      <c r="C5" s="6" t="inlineStr">
        <is>
          <t>CT</t>
        </is>
      </c>
      <c r="D5" s="6" t="n">
        <v>3</v>
      </c>
      <c r="E5" s="9" t="inlineStr">
        <is>
          <t>一档 高度可疑</t>
        </is>
      </c>
      <c r="F5" s="6" t="inlineStr">
        <is>
          <t>3 份报告全部只涉及肝方叶血管瘤、肝稍大、肠间隙不清</t>
        </is>
      </c>
      <c r="G5" s="6" t="inlineStr">
        <is>
          <t>肝方叶占位，血管瘤多考虑；请结合临床。</t>
        </is>
      </c>
      <c r="H5" s="6" t="inlineStr">
        <is>
          <t>阳性</t>
        </is>
      </c>
      <c r="I5" s="6" t="inlineStr"/>
      <c r="J5" s="8" t="inlineStr"/>
      <c r="K5" s="8" t="inlineStr"/>
      <c r="L5" s="8" t="inlineStr"/>
    </row>
    <row r="6" ht="58" customHeight="1">
      <c r="A6" s="6" t="n">
        <v>5</v>
      </c>
      <c r="B6" s="6" t="n">
        <v>5001066</v>
      </c>
      <c r="C6" s="6" t="inlineStr">
        <is>
          <t>CT</t>
        </is>
      </c>
      <c r="D6" s="6" t="n">
        <v>1</v>
      </c>
      <c r="E6" s="10" t="inlineStr">
        <is>
          <t>三档 无法核</t>
        </is>
      </c>
      <c r="F6" s="6" t="inlineStr">
        <is>
          <t>结论仅为交叉引用"见CT201612160234"，被引报告不在导出数据中</t>
        </is>
      </c>
      <c r="G6" s="6" t="inlineStr">
        <is>
          <t>见CT201612160234</t>
        </is>
      </c>
      <c r="H6" s="6" t="inlineStr">
        <is>
          <t>阳性</t>
        </is>
      </c>
      <c r="I6" s="6" t="inlineStr"/>
      <c r="J6" s="8" t="inlineStr"/>
      <c r="K6" s="8" t="inlineStr"/>
      <c r="L6" s="8" t="inlineStr"/>
    </row>
    <row r="7" ht="58" customHeight="1">
      <c r="A7" s="6" t="n">
        <v>6</v>
      </c>
      <c r="B7" s="6" t="n">
        <v>8294385</v>
      </c>
      <c r="C7" s="6" t="inlineStr">
        <is>
          <t>CT</t>
        </is>
      </c>
      <c r="D7" s="6" t="n">
        <v>1</v>
      </c>
      <c r="E7" s="7" t="inlineStr">
        <is>
          <t>二档 可能是对的</t>
        </is>
      </c>
      <c r="F7" s="6" t="inlineStr">
        <is>
          <t>结论提及"十二指肠远端梗阻性病变多考虑；中腹部肠管纠集"</t>
        </is>
      </c>
      <c r="G7" s="6" t="inlineStr">
        <is>
          <t>1、十二指肠远端梗阻性病变多考虑；
2、肠间隙模糊，中腹部肠管纠集；
建议增强检查。</t>
        </is>
      </c>
      <c r="H7" s="6" t="inlineStr">
        <is>
          <t>阳性</t>
        </is>
      </c>
      <c r="I7" s="6" t="inlineStr"/>
      <c r="J7" s="8" t="inlineStr"/>
      <c r="K7" s="8" t="inlineStr"/>
      <c r="L7" s="8" t="inlineStr"/>
    </row>
    <row r="8" ht="58" customHeight="1">
      <c r="A8" s="6" t="n">
        <v>7</v>
      </c>
      <c r="B8" s="6" t="n">
        <v>35807877</v>
      </c>
      <c r="C8" s="6" t="inlineStr">
        <is>
          <t>CT</t>
        </is>
      </c>
      <c r="D8" s="6" t="n">
        <v>1</v>
      </c>
      <c r="E8" s="9" t="inlineStr">
        <is>
          <t>一档 高度可疑</t>
        </is>
      </c>
      <c r="F8" s="6" t="inlineStr">
        <is>
          <t>结论为结肠扩张积气、阑尾粪石、直肠壁增厚，无旋转相关内容</t>
        </is>
      </c>
      <c r="G8" s="6" t="inlineStr">
        <is>
          <t>部分肠管（结肠为主）明显扩张积气；
阑尾粪石；
直肠壁增厚；
请结合临床。</t>
        </is>
      </c>
      <c r="H8" s="6" t="inlineStr">
        <is>
          <t>阳性</t>
        </is>
      </c>
      <c r="I8" s="6" t="inlineStr"/>
      <c r="J8" s="8" t="inlineStr"/>
      <c r="K8" s="8" t="inlineStr"/>
      <c r="L8" s="8" t="inlineStr"/>
    </row>
    <row r="9" ht="58" customHeight="1">
      <c r="A9" s="6" t="n">
        <v>8</v>
      </c>
      <c r="B9" s="6" t="n">
        <v>10140565</v>
      </c>
      <c r="C9" s="6" t="inlineStr">
        <is>
          <t>US</t>
        </is>
      </c>
      <c r="D9" s="6" t="n">
        <v>1</v>
      </c>
      <c r="E9" s="9" t="inlineStr">
        <is>
          <t>一档 高度可疑</t>
        </is>
      </c>
      <c r="F9" s="6" t="inlineStr">
        <is>
          <t>术前仅 2 份超声(同日)，均为床旁肝脾/左肾静脉/幽门，无旋转相关内容；诊断由造影报出</t>
        </is>
      </c>
      <c r="G9" s="6" t="inlineStr">
        <is>
          <t>床边彩超：
肝脏、脾脏未见明显异常。
左肾静脉未见明显受压。
幽门未显示。
左侧室管膜下囊肿。</t>
        </is>
      </c>
      <c r="H9" s="6" t="inlineStr">
        <is>
          <t>阳性</t>
        </is>
      </c>
      <c r="I9" s="6" t="inlineStr"/>
      <c r="J9" s="8" t="inlineStr"/>
      <c r="K9" s="8" t="inlineStr"/>
      <c r="L9" s="8" t="inlineStr"/>
    </row>
    <row r="10" ht="58" customHeight="1">
      <c r="A10" s="6" t="n">
        <v>9</v>
      </c>
      <c r="B10" s="6" t="n">
        <v>35792266</v>
      </c>
      <c r="C10" s="6" t="inlineStr">
        <is>
          <t>US</t>
        </is>
      </c>
      <c r="D10" s="6" t="n">
        <v>2</v>
      </c>
      <c r="E10" s="10" t="inlineStr">
        <is>
          <t>三档 已有解释</t>
        </is>
      </c>
      <c r="F10" s="6" t="inlineStr">
        <is>
          <t>索引次无阳性内容，更早一次(术前2.37天)记录了漩涡征，属索引单位与结局不同步</t>
        </is>
      </c>
      <c r="G10" s="6" t="inlineStr">
        <is>
          <t>腹膜后未见明显异常。</t>
        </is>
      </c>
      <c r="H10" s="6" t="inlineStr">
        <is>
          <t>阳性</t>
        </is>
      </c>
      <c r="I10" s="6" t="inlineStr"/>
      <c r="J10" s="8" t="inlineStr"/>
      <c r="K10" s="8" t="inlineStr"/>
      <c r="L10" s="8" t="inlineStr"/>
    </row>
  </sheetData>
  <dataValidations count="1">
    <dataValidation sqref="J2:J10" showDropDown="0" showInputMessage="0" showErrorMessage="0" allowBlank="1" type="list">
      <formula1>"裁定正确（保持阳性）,确为错标（改为阴性）,导出数据漏了报告,尚无法判定"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1" customWidth="1" min="4" max="4"/>
    <col width="30" customWidth="1" min="5" max="5"/>
    <col width="78" customWidth="1" min="6" max="6"/>
    <col width="52" customWidth="1" min="7" max="7"/>
  </cols>
  <sheetData>
    <row r="1">
      <c r="A1" s="5" t="inlineStr">
        <is>
          <t>序号</t>
        </is>
      </c>
      <c r="B1" s="5" t="inlineStr">
        <is>
          <t>患者编号</t>
        </is>
      </c>
      <c r="C1" s="5" t="inlineStr">
        <is>
          <t>模态</t>
        </is>
      </c>
      <c r="D1" s="5" t="inlineStr">
        <is>
          <t>距手术天数</t>
        </is>
      </c>
      <c r="E1" s="5" t="inlineStr">
        <is>
          <t>检查名称</t>
        </is>
      </c>
      <c r="F1" s="5" t="inlineStr">
        <is>
          <t>检查所见</t>
        </is>
      </c>
      <c r="G1" s="5" t="inlineStr">
        <is>
          <t>检查结论</t>
        </is>
      </c>
    </row>
    <row r="2" ht="96" customHeight="1">
      <c r="A2" s="11" t="n">
        <v>1</v>
      </c>
      <c r="B2" s="11" t="n">
        <v>8325283</v>
      </c>
      <c r="C2" s="11" t="inlineStr">
        <is>
          <t>UGI</t>
        </is>
      </c>
      <c r="D2" s="11" t="n">
        <v>1.65</v>
      </c>
      <c r="E2" s="11" t="inlineStr">
        <is>
          <t>全消化道碘水造影(DR)</t>
        </is>
      </c>
      <c r="F2" s="11" t="inlineStr">
        <is>
          <t>片1-6  全消化道碘水造影：
食管：边缘光滑，对比剂通过顺利;
胃：形态位置正常，壁光整，幽门开放正常;
小肠：十二指肠圈形态尚正常，空肠位于中腹偏右侧，小肠显示通畅，未见梗阻及扩张。
2小时后复查，对比剂已达结肠。</t>
        </is>
      </c>
      <c r="G2" s="11" t="inlineStr">
        <is>
          <t>空肠位于中腹偏右侧，未见明显梗阻征象，建议必要时追踪复查。</t>
        </is>
      </c>
    </row>
    <row r="3" ht="96" customHeight="1">
      <c r="A3" s="11" t="n">
        <v>2</v>
      </c>
      <c r="B3" s="11" t="n">
        <v>442644</v>
      </c>
      <c r="C3" s="11" t="inlineStr">
        <is>
          <t>CT</t>
        </is>
      </c>
      <c r="D3" s="11" t="n">
        <v>2.42</v>
      </c>
      <c r="E3" s="11" t="inlineStr">
        <is>
          <t>腹盆CT平扫</t>
        </is>
      </c>
      <c r="F3" s="11" t="inlineStr">
        <is>
          <t>肝脏形状体积正常，其内密度较均匀，未见明显肿块影；肝内胆管未见明显扩张征象。胆囊可见显示，其内未见明显异常高密度影。脾脏及双肾、胰腺未见明显异常。腹腔内肠管未见明显扩张积液积气，右侧中下腹部肠间隙模糊，密度增高。腹腔内可见低密度积液影。腹膜后未见明显占位征象。增强检查腹腔内未见明显异常强化肿块影。肠系膜上动脉见一分支向前下方走行，而后转向前上方达上腹部形成一类环形表现。周围肠管环绕分布，肠系膜稍纠集。</t>
        </is>
      </c>
      <c r="G3" s="11" t="inlineStr">
        <is>
          <t>右侧中下腹部肠间隙模糊，腹膜炎、腹腔积液，请结合临床除外腹内疝。</t>
        </is>
      </c>
    </row>
    <row r="4" ht="96" customHeight="1">
      <c r="A4" s="11" t="n">
        <v>3</v>
      </c>
      <c r="B4" s="11" t="n">
        <v>3824467</v>
      </c>
      <c r="C4" s="11" t="inlineStr">
        <is>
          <t>CT</t>
        </is>
      </c>
      <c r="D4" s="11" t="n">
        <v>-0.45</v>
      </c>
      <c r="E4" s="11" t="inlineStr">
        <is>
          <t>腹盆CT平扫＋增强</t>
        </is>
      </c>
      <c r="F4" s="11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大部分肠管扩张积液，部分肠壁水肿增厚，增强后强化不好，肠系膜上动脉及其主要分支密度增高。增强后肠系膜上动脉约中份未显影，部分系膜血管走行紊乱，肠系膜肿胀增厚，包绕系膜血管，腹膜腔见较多积液影。肠壁高密度影现不明显。
右侧胸腔见弧形液体密度影。</t>
        </is>
      </c>
      <c r="G4" s="11" t="inlineStr">
        <is>
          <t>肠梗阻，肠管积液，腹腔积液，部分肠壁水肿增厚；肠系膜上动脉约中份未显影，部分系膜血管走行紊乱，肠系膜肿胀增厚，包绕系膜血管。仍考虑坏死性肠炎，与前（2016.1.7）相仿。右侧胸腔积液。请结合临床。</t>
        </is>
      </c>
    </row>
    <row r="5" ht="96" customHeight="1">
      <c r="A5" s="11" t="n">
        <v>3</v>
      </c>
      <c r="B5" s="11" t="n">
        <v>3824467</v>
      </c>
      <c r="C5" s="11" t="inlineStr">
        <is>
          <t>CT</t>
        </is>
      </c>
      <c r="D5" s="11" t="n">
        <v>0.18</v>
      </c>
      <c r="E5" s="11" t="inlineStr">
        <is>
          <t>腹部CT平扫</t>
        </is>
      </c>
      <c r="F5" s="11" t="inlineStr">
        <is>
          <t>前上纵隔见软组织密度胸腺影，体积稍小，内部密度较均匀，未见钙化及囊变，未见明显向两侧胸腔凸出。中后纵隔未见明显肿块影。纵隔未见移位，气管及主支气管通畅。双肺纹理增强，右上下叶及左下叶见斑片状模糊影、部分致密。右侧胸膜腔见弧形积液影，厚约15mm。
    肝脏形状体积正常，其内密度较均匀，未见明显肿块影；肝内胆管未见明显扩张征象。胆囊可见显示。脾脏及双肾位置、大小、形态及密度未见明显异常改变。胰腺未见明显异常。腹腔内大部分肠管扩张积液，肠壁水肿增厚，右下腹肠管显示纠集，结肠脾曲以下肠管肠壁增厚、密度增高。肠系膜上动脉及其主要分支密度增高。腹膜腔见较多积液影。腹膜后未见明显占位征象。</t>
        </is>
      </c>
      <c r="G5" s="11" t="inlineStr">
        <is>
          <t>右上下叶及左下叶肺炎，右侧胸腔积液；  
肠梗阻，大部分肠管扩张积液，肠壁水肿增厚；腹腔积液；
部分结肠肠壁增厚、密度增高（出血？），多考虑为坏死性肠炎所致；
右下腹肠管显示纠集，请结合临床除外外科情况，必要时增强检查。</t>
        </is>
      </c>
    </row>
    <row r="6" ht="96" customHeight="1">
      <c r="A6" s="11" t="n">
        <v>4</v>
      </c>
      <c r="B6" s="11" t="n">
        <v>4331826</v>
      </c>
      <c r="C6" s="11" t="inlineStr">
        <is>
          <t>CT</t>
        </is>
      </c>
      <c r="D6" s="11" t="n">
        <v>6.39</v>
      </c>
      <c r="E6" s="11" t="inlineStr">
        <is>
          <t>下腹部CT平扫＋增强</t>
        </is>
      </c>
      <c r="F6" s="11" t="inlineStr">
        <is>
          <t>肝脏形状体积正常，肝方叶见类圆形低密度肿块影，CT值约44Hu，大小约7mm×7mm；肝内胆管未见明显扩张征象。胆囊可见显示。脾脏及双肾位置、大小、形态及密度未见明显异常改变。胰腺未见明显异常。腹腔内肠管未见明显扩张积液积气，部分肠管内见高密度对比剂，周围见放射状伪影。腹腔内未见明显积液。腹膜后未见明显占位征象。增强扫描：肝方叶肿块呈明显均匀强化，肠系膜上动脉走行稍僵直，远端显示欠清。</t>
        </is>
      </c>
      <c r="G6" s="11" t="inlineStr">
        <is>
          <t>肝方叶占位，血管瘤多考虑；请结合临床。</t>
        </is>
      </c>
    </row>
    <row r="7" ht="96" customHeight="1">
      <c r="A7" s="11" t="n">
        <v>4</v>
      </c>
      <c r="B7" s="11" t="n">
        <v>4331826</v>
      </c>
      <c r="C7" s="11" t="inlineStr">
        <is>
          <t>CT</t>
        </is>
      </c>
      <c r="D7" s="11" t="n">
        <v>6.39</v>
      </c>
      <c r="E7" s="11" t="inlineStr">
        <is>
          <t>上腹部(含肝胆脾胰)CT平扫＋增强</t>
        </is>
      </c>
      <c r="F7" s="11" t="inlineStr">
        <is>
          <t>肝脏形状体积正常，肝方叶见类圆形低密度肿块影，CT值约44Hu，大小约7mm×7mm；肝内胆管未见明显扩张征象。胆囊可见显示。脾脏及双肾位置、大小、形态及密度未见明显异常改变。胰腺未见明显异常。腹腔内肠管未见明显扩张积液积气，部分肠管内见高密度对比剂，周围见放射状伪影。腹腔内未见明显积液。腹膜后未见明显占位征象。增强扫描：肝方叶肿块呈明显均匀强化，肠系膜上动脉走行稍僵直，远端显示欠清。</t>
        </is>
      </c>
      <c r="G7" s="11" t="inlineStr">
        <is>
          <t>肝方叶占位，血管瘤多考虑；请结合临床。</t>
        </is>
      </c>
    </row>
    <row r="8" ht="96" customHeight="1">
      <c r="A8" s="11" t="n">
        <v>4</v>
      </c>
      <c r="B8" s="11" t="n">
        <v>4331826</v>
      </c>
      <c r="C8" s="11" t="inlineStr">
        <is>
          <t>CT</t>
        </is>
      </c>
      <c r="D8" s="11" t="n">
        <v>11.09</v>
      </c>
      <c r="E8" s="11" t="inlineStr">
        <is>
          <t>腹部CT平扫</t>
        </is>
      </c>
      <c r="F8" s="11" t="inlineStr">
        <is>
          <t>肝稍大。脾及双肾实质未见异常密度灶，大小形态未见异常。肝内外胆管未见明显扩张。胆囊显影，内部未见明显异常占位。肠管未见明显扩张积气积液，肠间隙不清。腹腔及腹膜后未见明显异常肿块及积液影。</t>
        </is>
      </c>
      <c r="G8" s="11" t="inlineStr">
        <is>
          <t>肝稍大；肠间隙不清；请结合临床。</t>
        </is>
      </c>
    </row>
    <row r="9" ht="96" customHeight="1">
      <c r="A9" s="11" t="n">
        <v>5</v>
      </c>
      <c r="B9" s="11" t="n">
        <v>5001066</v>
      </c>
      <c r="C9" s="11" t="inlineStr">
        <is>
          <t>CT</t>
        </is>
      </c>
      <c r="D9" s="11" t="n">
        <v>5.24</v>
      </c>
      <c r="E9" s="11" t="inlineStr">
        <is>
          <t>腹盆CT平扫＋增强</t>
        </is>
      </c>
      <c r="F9" s="11" t="inlineStr">
        <is>
          <t>nan</t>
        </is>
      </c>
      <c r="G9" s="11" t="inlineStr">
        <is>
          <t>见CT201612160234</t>
        </is>
      </c>
    </row>
    <row r="10" ht="96" customHeight="1">
      <c r="A10" s="11" t="n">
        <v>6</v>
      </c>
      <c r="B10" s="11" t="n">
        <v>8294385</v>
      </c>
      <c r="C10" s="11" t="inlineStr">
        <is>
          <t>CT</t>
        </is>
      </c>
      <c r="D10" s="11" t="n">
        <v>0.07000000000000001</v>
      </c>
      <c r="E10" s="11" t="inlineStr">
        <is>
          <t>腹盆CT平扫（含体层成像及三维重建）</t>
        </is>
      </c>
      <c r="F10" s="11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胃腔及十二指肠扩张积气，肠间隙模糊，中腹部肠管纠集，回盲部似位于右侧，左半结肠及直肠内见高密度造影剂影，小肠肠腔内见线样稍高密度影，腹腔内未见明显积液。腹膜后未见明显占位征象。</t>
        </is>
      </c>
      <c r="G10" s="11" t="inlineStr">
        <is>
          <t>1、十二指肠远端梗阻性病变多考虑；
2、肠间隙模糊，中腹部肠管纠集；
建议增强检查。</t>
        </is>
      </c>
    </row>
    <row r="11" ht="96" customHeight="1">
      <c r="A11" s="11" t="n">
        <v>7</v>
      </c>
      <c r="B11" s="11" t="n">
        <v>35807877</v>
      </c>
      <c r="C11" s="11" t="inlineStr">
        <is>
          <t>CT</t>
        </is>
      </c>
      <c r="D11" s="11" t="n">
        <v>6.35</v>
      </c>
      <c r="E11" s="11" t="inlineStr">
        <is>
          <t>腹盆CT平扫+增强（含体层成像及三维重建）</t>
        </is>
      </c>
      <c r="F11" s="11" t="inlineStr">
        <is>
          <t>腹盆CT平扫+增强（含三维重建及体层成像）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部分肠管（结肠为主）明显扩张积气，可见少许液平，阑尾腔内见条状高密度影，腹腔内未见明显积液。腹膜后未见明显占位征象。增强扫描腹腔内实质脏器未见明显异常强化。腹腔大血管强化好，肠系膜上动脉位于肠系膜上静脉左后方。直肠壁稍厚，可见强化。</t>
        </is>
      </c>
      <c r="G11" s="11" t="inlineStr">
        <is>
          <t>部分肠管（结肠为主）明显扩张积气；
阑尾粪石；
直肠壁增厚；
请结合临床。</t>
        </is>
      </c>
    </row>
    <row r="12" ht="96" customHeight="1">
      <c r="A12" s="11" t="n">
        <v>8</v>
      </c>
      <c r="B12" s="11" t="n">
        <v>10140565</v>
      </c>
      <c r="C12" s="11" t="inlineStr">
        <is>
          <t>US</t>
        </is>
      </c>
      <c r="D12" s="11" t="n">
        <v>4.51</v>
      </c>
      <c r="E12" s="11" t="inlineStr">
        <is>
          <t>床旁彩色多普勒超声检查(彩超),肝、脾彩超,左肾静脉“胡桃夹”综合征检查(彩超),幽门彩超,颅腔＋颅内段血管检查(彩超)</t>
        </is>
      </c>
      <c r="F12" s="11" t="inlineStr">
        <is>
          <t>肝脏切面形态正常，肝内光点分布均匀，血管走向清晰，肝右肋下0cm。
脾脏切面形态正常，左肋下0cm，厚1.2cm。
幽门因上腹部气体干扰未显示。
CDFI:上述部位未见异常血流信号。
左肾静脉走行于腹主动脉与肠系膜上动脉之间，其内径分别为：
卧位：                   
近肾门处：0.32cm
夹角处：0.16cm
比值小于3倍
CDFI：左肾静脉跨越处未见明显加速的血流信号。
左侧室管膜下可见范围约1.3cm×0.7cm的串珠样无回声区，边界尚清晰，余脑室未见明显异常回声，脑中线居中，脑实质内未见局限性异常回声。
CDFI：上述无回声区内未见明显血流信号，颅内血流分布及各参数未见明显异常。</t>
        </is>
      </c>
      <c r="G12" s="11" t="inlineStr">
        <is>
          <t>床边彩超：
肝脏、脾脏未见明显异常。
左肾静脉未见明显受压。
幽门未显示。
左侧室管膜下囊肿。</t>
        </is>
      </c>
    </row>
    <row r="13" ht="96" customHeight="1">
      <c r="A13" s="11" t="n">
        <v>9</v>
      </c>
      <c r="B13" s="11" t="n">
        <v>35792266</v>
      </c>
      <c r="C13" s="11" t="inlineStr">
        <is>
          <t>US</t>
        </is>
      </c>
      <c r="D13" s="11" t="n">
        <v>1.59</v>
      </c>
      <c r="E13" s="11" t="inlineStr">
        <is>
          <t>腹部大血管彩超(含腹膜后)</t>
        </is>
      </c>
      <c r="F13" s="11" t="inlineStr">
        <is>
          <t>腹膜后大血管旁及其间隙内未见明显局限性肿块图像。
CDFI:上述部位未见明显异常血流信号。</t>
        </is>
      </c>
      <c r="G13" s="11" t="inlineStr">
        <is>
          <t>腹膜后未见明显异常。</t>
        </is>
      </c>
    </row>
    <row r="14" ht="96" customHeight="1">
      <c r="A14" s="11" t="n">
        <v>9</v>
      </c>
      <c r="B14" s="11" t="n">
        <v>35792266</v>
      </c>
      <c r="C14" s="11" t="inlineStr">
        <is>
          <t>US</t>
        </is>
      </c>
      <c r="D14" s="11" t="n">
        <v>2.37</v>
      </c>
      <c r="E14" s="11" t="inlineStr">
        <is>
          <t>胃肠道彩超,腹部大血管彩超(含腹膜后)</t>
        </is>
      </c>
      <c r="F14" s="11" t="inlineStr">
        <is>
          <t>中腹部可见一大小约2.4cm×2.0cm的光团回声，边界尚清晰，内部回声呈强弱相间的漩涡状回声，内见扩张的血管环绕。上端肠管及胃内可见液性无回声，并见散在细小强光点回声漂浮移动。余腹未见明显局限性异常回声。
CDFI：上述光团内见漩涡环绕的动静脉血流信号。</t>
        </is>
      </c>
      <c r="G14" s="11" t="inlineStr">
        <is>
          <t>中腹部异常光团回声：肠旋转不良可能。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10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更正的影响：按「待核清单」J 列自动重算</t>
        </is>
      </c>
    </row>
    <row r="2">
      <c r="A2" s="13" t="inlineStr">
        <is>
          <t>仅统计标记为「确为错标（改为阴性）」的病例。Wilson 95% 置信区间按公式实时计算。</t>
        </is>
      </c>
    </row>
    <row r="4" ht="30" customHeight="1">
      <c r="A4" s="5" t="inlineStr">
        <is>
          <t>模态</t>
        </is>
      </c>
      <c r="B4" s="5" t="inlineStr">
        <is>
          <t>现分子</t>
        </is>
      </c>
      <c r="C4" s="5" t="inlineStr">
        <is>
          <t>分母</t>
        </is>
      </c>
      <c r="D4" s="5" t="inlineStr">
        <is>
          <t>现检出率</t>
        </is>
      </c>
      <c r="E4" s="5" t="inlineStr">
        <is>
          <t>现 95% CI 下限</t>
        </is>
      </c>
      <c r="F4" s="5" t="inlineStr">
        <is>
          <t>现 95% CI 上限</t>
        </is>
      </c>
      <c r="G4" s="5" t="inlineStr">
        <is>
          <t>判为错标数</t>
        </is>
      </c>
      <c r="H4" s="5" t="inlineStr">
        <is>
          <t>更正后分子</t>
        </is>
      </c>
      <c r="I4" s="5" t="inlineStr">
        <is>
          <t>更正后检出率</t>
        </is>
      </c>
      <c r="J4" s="5" t="inlineStr">
        <is>
          <t>更正后 CI 下限</t>
        </is>
      </c>
      <c r="K4" s="5" t="inlineStr">
        <is>
          <t>更正后 CI 上限</t>
        </is>
      </c>
    </row>
    <row r="5">
      <c r="A5" s="14" t="inlineStr">
        <is>
          <t>UGI</t>
        </is>
      </c>
      <c r="B5" s="14" t="n">
        <v>237</v>
      </c>
      <c r="C5" s="14" t="n">
        <v>301</v>
      </c>
      <c r="D5" s="15">
        <f>B5/C5</f>
        <v/>
      </c>
      <c r="E5" s="15">
        <f>((B5/C5+1.96^2/(2*C5))-1.96*SQRT((B5/C5)*(1-B5/C5)/C5+1.96^2/(4*C5^2)))/(1+1.96^2/C5)</f>
        <v/>
      </c>
      <c r="F5" s="15">
        <f>((B5/C5+1.96^2/(2*C5))+1.96*SQRT((B5/C5)*(1-B5/C5)/C5+1.96^2/(4*C5^2)))/(1+1.96^2/C5)</f>
        <v/>
      </c>
      <c r="G5" s="14">
        <f>COUNTIFS(待核清单!$C$2:$C$10,A5,待核清单!$J$2:$J$10,"确为错标（改为阴性）")</f>
        <v/>
      </c>
      <c r="H5" s="14">
        <f>B5-G5</f>
        <v/>
      </c>
      <c r="I5" s="15">
        <f>H5/C5</f>
        <v/>
      </c>
      <c r="J5" s="15">
        <f>((H5/C5+1.96^2/(2*C5))-1.96*SQRT((H5/C5)*(1-H5/C5)/C5+1.96^2/(4*C5^2)))/(1+1.96^2/C5)</f>
        <v/>
      </c>
      <c r="K5" s="15">
        <f>((H5/C5+1.96^2/(2*C5))+1.96*SQRT((H5/C5)*(1-H5/C5)/C5+1.96^2/(4*C5^2)))/(1+1.96^2/C5)</f>
        <v/>
      </c>
    </row>
    <row r="6">
      <c r="A6" s="14" t="inlineStr">
        <is>
          <t>CT</t>
        </is>
      </c>
      <c r="B6" s="14" t="n">
        <v>171</v>
      </c>
      <c r="C6" s="14" t="n">
        <v>320</v>
      </c>
      <c r="D6" s="15">
        <f>B6/C6</f>
        <v/>
      </c>
      <c r="E6" s="15">
        <f>((B6/C6+1.96^2/(2*C6))-1.96*SQRT((B6/C6)*(1-B6/C6)/C6+1.96^2/(4*C6^2)))/(1+1.96^2/C6)</f>
        <v/>
      </c>
      <c r="F6" s="15">
        <f>((B6/C6+1.96^2/(2*C6))+1.96*SQRT((B6/C6)*(1-B6/C6)/C6+1.96^2/(4*C6^2)))/(1+1.96^2/C6)</f>
        <v/>
      </c>
      <c r="G6" s="14">
        <f>COUNTIFS(待核清单!$C$2:$C$10,A6,待核清单!$J$2:$J$10,"确为错标（改为阴性）")</f>
        <v/>
      </c>
      <c r="H6" s="14">
        <f>B6-G6</f>
        <v/>
      </c>
      <c r="I6" s="15">
        <f>H6/C6</f>
        <v/>
      </c>
      <c r="J6" s="15">
        <f>((H6/C6+1.96^2/(2*C6))-1.96*SQRT((H6/C6)*(1-H6/C6)/C6+1.96^2/(4*C6^2)))/(1+1.96^2/C6)</f>
        <v/>
      </c>
      <c r="K6" s="15">
        <f>((H6/C6+1.96^2/(2*C6))+1.96*SQRT((H6/C6)*(1-H6/C6)/C6+1.96^2/(4*C6^2)))/(1+1.96^2/C6)</f>
        <v/>
      </c>
    </row>
    <row r="7">
      <c r="A7" s="14" t="inlineStr">
        <is>
          <t>US</t>
        </is>
      </c>
      <c r="B7" s="14" t="n">
        <v>65</v>
      </c>
      <c r="C7" s="14" t="n">
        <v>119</v>
      </c>
      <c r="D7" s="15">
        <f>B7/C7</f>
        <v/>
      </c>
      <c r="E7" s="15">
        <f>((B7/C7+1.96^2/(2*C7))-1.96*SQRT((B7/C7)*(1-B7/C7)/C7+1.96^2/(4*C7^2)))/(1+1.96^2/C7)</f>
        <v/>
      </c>
      <c r="F7" s="15">
        <f>((B7/C7+1.96^2/(2*C7))+1.96*SQRT((B7/C7)*(1-B7/C7)/C7+1.96^2/(4*C7^2)))/(1+1.96^2/C7)</f>
        <v/>
      </c>
      <c r="G7" s="14">
        <f>COUNTIFS(待核清单!$C$2:$C$10,A7,待核清单!$J$2:$J$10,"确为错标（改为阴性）")</f>
        <v/>
      </c>
      <c r="H7" s="14">
        <f>B7-G7</f>
        <v/>
      </c>
      <c r="I7" s="15">
        <f>H7/C7</f>
        <v/>
      </c>
      <c r="J7" s="15">
        <f>((H7/C7+1.96^2/(2*C7))-1.96*SQRT((H7/C7)*(1-H7/C7)/C7+1.96^2/(4*C7^2)))/(1+1.96^2/C7)</f>
        <v/>
      </c>
      <c r="K7" s="15">
        <f>((H7/C7+1.96^2/(2*C7))+1.96*SQRT((H7/C7)*(1-H7/C7)/C7+1.96^2/(4*C7^2)))/(1+1.96^2/C7)</f>
        <v/>
      </c>
    </row>
    <row r="9">
      <c r="A9" s="13" t="inlineStr">
        <is>
          <t>现分子与分母来自已提交的分析（表 2）；分母不受标签更正影响，因为这些患儿仍接受了该检查。</t>
        </is>
      </c>
    </row>
    <row r="10">
      <c r="A10" s="13" t="inlineStr">
        <is>
          <t>注：此表只算检出率。实际更正后，时代模型、GEE、边际效应、配对亚组与图 2、图 3 都要重跑，由我完成。</t>
        </is>
      </c>
    </row>
    <row r="11">
      <c r="A11" s="16" t="inlineStr">
        <is>
          <t>本表各格是公式，用 Excel 或 WPS 打开时会自动算出结果；在网页预览或部分看图工具里可能显示为空白，属正常。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2026-09-06T12:44:23Z</dcterms:created>
  <dcterms:modified xmlns:dcterms="http://purl.org/dc/terms/" xmlns:xsi="http://www.w3.org/2001/XMLSchema-instance" xsi:type="dcterms:W3CDTF">2026-09-06T12:44:23Z</dcterms:modified>
</cp:coreProperties>
</file>