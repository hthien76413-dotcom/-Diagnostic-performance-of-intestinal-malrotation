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全部肠旋转不良\①肠旋转不良诊断效能\第3次投J Am Coll Radiol（Claude网页版）\"/>
    </mc:Choice>
  </mc:AlternateContent>
  <bookViews>
    <workbookView windowWidth="23040" windowHeight="13380" tabRatio="500" activeTab="3"/>
  </bookViews>
  <sheets>
    <sheet name="说明" sheetId="1" r:id="rId1"/>
    <sheet name="S1_锚定手术判定" sheetId="2" r:id="rId2"/>
    <sheet name="S2_术前时间核对" sheetId="3" r:id="rId3"/>
    <sheet name="S3_超声报告阅读_甲" sheetId="4" r:id="rId4"/>
  </sheets>
  <definedNames>
    <definedName name="_xlnm.Print_Titles" localSheetId="1">S1_锚定手术判定!$1:$1</definedName>
    <definedName name="_xlnm.Print_Titles" localSheetId="2">S2_术前时间核对!$1:$1</definedName>
    <definedName name="_xlnm.Print_Titles" localSheetId="3">S3_超声报告阅读_甲!$1:$1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<sst xmlns="http://schemas.openxmlformats.org/spreadsheetml/2006/main" count="3471" uniqueCount="978">
  <si>
    <r>
      <rPr>
        <b/>
        <sz val="14"/>
        <rFont val="Noto Sans CJK SC"/>
        <charset val="134"/>
      </rPr>
      <t xml:space="preserve">审稿意见 </t>
    </r>
    <r>
      <rPr>
        <b/>
        <sz val="14"/>
        <rFont val="Arial"/>
        <charset val="1"/>
      </rPr>
      <t xml:space="preserve">S1–S3 </t>
    </r>
    <r>
      <rPr>
        <b/>
        <sz val="14"/>
        <rFont val="Noto Sans CJK SC"/>
        <charset val="134"/>
      </rPr>
      <t>核对表</t>
    </r>
  </si>
  <si>
    <t>这份表是做什么的</t>
  </si>
  <si>
    <t>审稿意见中的三项严重问题都需要人工核实，核实完成后才能重算全文数字。三个工作表分别对应一项，每例都附有原始记录全文。</t>
  </si>
  <si>
    <t>只需要填写浅黄色的列，其余各列请不要改动。判定栏点开后从下拉列表里选。</t>
  </si>
  <si>
    <r>
      <rPr>
        <b/>
        <sz val="11"/>
        <rFont val="Arial"/>
        <charset val="1"/>
      </rPr>
      <t>S1_</t>
    </r>
    <r>
      <rPr>
        <b/>
        <sz val="11"/>
        <rFont val="Noto Sans CJK SC"/>
        <charset val="134"/>
      </rPr>
      <t>锚定手术判定</t>
    </r>
  </si>
  <si>
    <t>谁来填</t>
  </si>
  <si>
    <t>一名外科医生，最好熟悉这些病例。</t>
  </si>
  <si>
    <t>判断什么</t>
  </si>
  <si>
    <r>
      <rPr>
        <sz val="10"/>
        <rFont val="Noto Sans CJK SC"/>
        <charset val="134"/>
      </rPr>
      <t xml:space="preserve">每例只判断一件事：这一次手术中是否确认了肠旋转不良。依据 </t>
    </r>
    <r>
      <rPr>
        <sz val="10"/>
        <rFont val="Arial"/>
        <charset val="1"/>
      </rPr>
      <t xml:space="preserve">H </t>
    </r>
    <r>
      <rPr>
        <sz val="10"/>
        <rFont val="Noto Sans CJK SC"/>
        <charset val="134"/>
      </rPr>
      <t xml:space="preserve">列的手术经过全文和 </t>
    </r>
    <r>
      <rPr>
        <sz val="10"/>
        <rFont val="Arial"/>
        <charset val="1"/>
      </rPr>
      <t xml:space="preserve">I </t>
    </r>
    <r>
      <rPr>
        <sz val="10"/>
        <rFont val="Noto Sans CJK SC"/>
        <charset val="134"/>
      </rPr>
      <t>列的全部手术记录。</t>
    </r>
  </si>
  <si>
    <t>共几例</t>
  </si>
  <si>
    <r>
      <rPr>
        <sz val="10"/>
        <rFont val="Arial"/>
        <charset val="1"/>
      </rPr>
      <t xml:space="preserve">34 </t>
    </r>
    <r>
      <rPr>
        <sz val="10"/>
        <rFont val="Noto Sans CJK SC"/>
        <charset val="134"/>
      </rPr>
      <t xml:space="preserve">例：手术名称里没有 </t>
    </r>
    <r>
      <rPr>
        <sz val="10"/>
        <rFont val="Arial"/>
        <charset val="1"/>
      </rPr>
      <t>Ladd/</t>
    </r>
    <r>
      <rPr>
        <sz val="10"/>
        <rFont val="Noto Sans CJK SC"/>
        <charset val="134"/>
      </rPr>
      <t>复位</t>
    </r>
    <r>
      <rPr>
        <sz val="10"/>
        <rFont val="Arial"/>
        <charset val="1"/>
      </rPr>
      <t>/</t>
    </r>
    <r>
      <rPr>
        <sz val="10"/>
        <rFont val="Noto Sans CJK SC"/>
        <charset val="134"/>
      </rPr>
      <t xml:space="preserve">旋转不良字样的锚定手术 </t>
    </r>
    <r>
      <rPr>
        <sz val="10"/>
        <rFont val="Arial"/>
        <charset val="1"/>
      </rPr>
      <t xml:space="preserve">30 </t>
    </r>
    <r>
      <rPr>
        <sz val="10"/>
        <rFont val="Noto Sans CJK SC"/>
        <charset val="134"/>
      </rPr>
      <t xml:space="preserve">例，加上有既往旋转不良手术史、这次为 </t>
    </r>
    <r>
      <rPr>
        <sz val="10"/>
        <rFont val="Arial"/>
        <charset val="1"/>
      </rPr>
      <t>Ladd/</t>
    </r>
    <r>
      <rPr>
        <sz val="10"/>
        <rFont val="Noto Sans CJK SC"/>
        <charset val="134"/>
      </rPr>
      <t xml:space="preserve">复位的 </t>
    </r>
    <r>
      <rPr>
        <sz val="10"/>
        <rFont val="Arial"/>
        <charset val="1"/>
      </rPr>
      <t xml:space="preserve">4 </t>
    </r>
    <r>
      <rPr>
        <sz val="10"/>
        <rFont val="Noto Sans CJK SC"/>
        <charset val="134"/>
      </rPr>
      <t>例。</t>
    </r>
  </si>
  <si>
    <t>选项含义</t>
  </si>
  <si>
    <r>
      <rPr>
        <sz val="10"/>
        <rFont val="Arial"/>
        <charset val="1"/>
      </rPr>
      <t>"</t>
    </r>
    <r>
      <rPr>
        <sz val="10"/>
        <rFont val="Noto Sans CJK SC"/>
        <charset val="134"/>
      </rPr>
      <t>本次手术确认（保留）</t>
    </r>
    <r>
      <rPr>
        <sz val="10"/>
        <rFont val="Arial"/>
        <charset val="1"/>
      </rPr>
      <t>"</t>
    </r>
    <r>
      <rPr>
        <sz val="10"/>
        <rFont val="Noto Sans CJK SC"/>
        <charset val="134"/>
      </rPr>
      <t>：术中直接看到旋转不良，或做了针对旋转不良的处理。</t>
    </r>
    <r>
      <rPr>
        <sz val="10"/>
        <rFont val="Arial"/>
        <charset val="1"/>
      </rPr>
      <t>"</t>
    </r>
    <r>
      <rPr>
        <sz val="10"/>
        <rFont val="Noto Sans CJK SC"/>
        <charset val="134"/>
      </rPr>
      <t>非本次手术确认（排除）</t>
    </r>
    <r>
      <rPr>
        <sz val="10"/>
        <rFont val="Arial"/>
        <charset val="1"/>
      </rPr>
      <t>"</t>
    </r>
    <r>
      <rPr>
        <sz val="10"/>
        <rFont val="Noto Sans CJK SC"/>
        <charset val="134"/>
      </rPr>
      <t>：旋转不良只是既往诊断或附带诊断。</t>
    </r>
    <r>
      <rPr>
        <sz val="10"/>
        <rFont val="Arial"/>
        <charset val="1"/>
      </rPr>
      <t>"</t>
    </r>
    <r>
      <rPr>
        <sz val="10"/>
        <rFont val="Noto Sans CJK SC"/>
        <charset val="134"/>
      </rPr>
      <t>复发再次手术（单独讨论）</t>
    </r>
    <r>
      <rPr>
        <sz val="10"/>
        <rFont val="Arial"/>
        <charset val="1"/>
      </rPr>
      <t>"</t>
    </r>
    <r>
      <rPr>
        <sz val="10"/>
        <rFont val="Noto Sans CJK SC"/>
        <charset val="134"/>
      </rPr>
      <t xml:space="preserve">：既往做过 </t>
    </r>
    <r>
      <rPr>
        <sz val="10"/>
        <rFont val="Arial"/>
        <charset val="1"/>
      </rPr>
      <t>Ladd</t>
    </r>
    <r>
      <rPr>
        <sz val="10"/>
        <rFont val="Noto Sans CJK SC"/>
        <charset val="134"/>
      </rPr>
      <t>，这次因复发再次手术。</t>
    </r>
  </si>
  <si>
    <r>
      <rPr>
        <b/>
        <sz val="11"/>
        <rFont val="Arial"/>
        <charset val="1"/>
      </rPr>
      <t>S2_</t>
    </r>
    <r>
      <rPr>
        <b/>
        <sz val="11"/>
        <rFont val="Noto Sans CJK SC"/>
        <charset val="134"/>
      </rPr>
      <t>术前时间核对</t>
    </r>
  </si>
  <si>
    <t>为什么要核</t>
  </si>
  <si>
    <r>
      <rPr>
        <sz val="10"/>
        <rFont val="Noto Sans CJK SC"/>
        <charset val="134"/>
      </rPr>
      <t xml:space="preserve">数据中的手术时间只有日期，没有具体时刻，所以手术当天做的检查无法判断是在术前还是术后。已发现 </t>
    </r>
    <r>
      <rPr>
        <sz val="10"/>
        <rFont val="Arial"/>
        <charset val="1"/>
      </rPr>
      <t xml:space="preserve">1 </t>
    </r>
    <r>
      <rPr>
        <sz val="10"/>
        <rFont val="Noto Sans CJK SC"/>
        <charset val="134"/>
      </rPr>
      <t>例（</t>
    </r>
    <r>
      <rPr>
        <sz val="10"/>
        <rFont val="Arial"/>
        <charset val="1"/>
      </rPr>
      <t>3826010</t>
    </r>
    <r>
      <rPr>
        <sz val="10"/>
        <rFont val="Noto Sans CJK SC"/>
        <charset val="134"/>
      </rPr>
      <t>）的唯一一次超声其实是术后检查。</t>
    </r>
  </si>
  <si>
    <t>首选做法</t>
  </si>
  <si>
    <r>
      <rPr>
        <sz val="10"/>
        <rFont val="Noto Sans CJK SC"/>
        <charset val="134"/>
      </rPr>
      <t xml:space="preserve">从手术麻醉系统查出这些患儿的手术开始时间，填入 </t>
    </r>
    <r>
      <rPr>
        <sz val="10"/>
        <rFont val="Arial"/>
        <charset val="1"/>
      </rPr>
      <t xml:space="preserve">K </t>
    </r>
    <r>
      <rPr>
        <sz val="10"/>
        <rFont val="Noto Sans CJK SC"/>
        <charset val="134"/>
      </rPr>
      <t>列（格式：</t>
    </r>
    <r>
      <rPr>
        <sz val="10"/>
        <rFont val="Arial"/>
        <charset val="1"/>
      </rPr>
      <t>14:30</t>
    </r>
    <r>
      <rPr>
        <sz val="10"/>
        <rFont val="Noto Sans CJK SC"/>
        <charset val="134"/>
      </rPr>
      <t>）。</t>
    </r>
    <r>
      <rPr>
        <sz val="10"/>
        <rFont val="Arial"/>
        <charset val="1"/>
      </rPr>
      <t xml:space="preserve">L </t>
    </r>
    <r>
      <rPr>
        <sz val="10"/>
        <rFont val="Noto Sans CJK SC"/>
        <charset val="134"/>
      </rPr>
      <t>列会自动给出</t>
    </r>
    <r>
      <rPr>
        <sz val="10"/>
        <rFont val="Arial"/>
        <charset val="1"/>
      </rPr>
      <t>"</t>
    </r>
    <r>
      <rPr>
        <sz val="10"/>
        <rFont val="Noto Sans CJK SC"/>
        <charset val="134"/>
      </rPr>
      <t>术前</t>
    </r>
    <r>
      <rPr>
        <sz val="10"/>
        <rFont val="Arial"/>
        <charset val="1"/>
      </rPr>
      <t>/</t>
    </r>
    <r>
      <rPr>
        <sz val="10"/>
        <rFont val="Noto Sans CJK SC"/>
        <charset val="134"/>
      </rPr>
      <t>术后</t>
    </r>
    <r>
      <rPr>
        <sz val="10"/>
        <rFont val="Arial"/>
        <charset val="1"/>
      </rPr>
      <t>"</t>
    </r>
    <r>
      <rPr>
        <sz val="10"/>
        <rFont val="Noto Sans CJK SC"/>
        <charset val="134"/>
      </rPr>
      <t>，</t>
    </r>
    <r>
      <rPr>
        <sz val="10"/>
        <rFont val="Arial"/>
        <charset val="1"/>
      </rPr>
      <t xml:space="preserve">M </t>
    </r>
    <r>
      <rPr>
        <sz val="10"/>
        <rFont val="Noto Sans CJK SC"/>
        <charset val="134"/>
      </rPr>
      <t xml:space="preserve">列可以不填。手术当日的检查共 </t>
    </r>
    <r>
      <rPr>
        <sz val="10"/>
        <rFont val="Arial"/>
        <charset val="1"/>
      </rPr>
      <t xml:space="preserve">154 </t>
    </r>
    <r>
      <rPr>
        <sz val="10"/>
        <rFont val="Noto Sans CJK SC"/>
        <charset val="134"/>
      </rPr>
      <t xml:space="preserve">份报告，涉及 </t>
    </r>
    <r>
      <rPr>
        <sz val="10"/>
        <rFont val="Arial"/>
        <charset val="1"/>
      </rPr>
      <t xml:space="preserve">114 </t>
    </r>
    <r>
      <rPr>
        <sz val="10"/>
        <rFont val="Noto Sans CJK SC"/>
        <charset val="134"/>
      </rPr>
      <t>名患儿；同一患儿有几行就每行都填一次。</t>
    </r>
  </si>
  <si>
    <t>查不到时间时</t>
  </si>
  <si>
    <r>
      <rPr>
        <sz val="10"/>
        <rFont val="Noto Sans CJK SC"/>
        <charset val="134"/>
      </rPr>
      <t xml:space="preserve">根据报告内容人工判断，在 </t>
    </r>
    <r>
      <rPr>
        <sz val="10"/>
        <rFont val="Arial"/>
        <charset val="1"/>
      </rPr>
      <t xml:space="preserve">M </t>
    </r>
    <r>
      <rPr>
        <sz val="10"/>
        <rFont val="Noto Sans CJK SC"/>
        <charset val="134"/>
      </rPr>
      <t>列选</t>
    </r>
    <r>
      <rPr>
        <sz val="10"/>
        <rFont val="Arial"/>
        <charset val="1"/>
      </rPr>
      <t>"</t>
    </r>
    <r>
      <rPr>
        <sz val="10"/>
        <rFont val="Noto Sans CJK SC"/>
        <charset val="134"/>
      </rPr>
      <t>术前（保留）</t>
    </r>
    <r>
      <rPr>
        <sz val="10"/>
        <rFont val="Arial"/>
        <charset val="1"/>
      </rPr>
      <t>/</t>
    </r>
    <r>
      <rPr>
        <sz val="10"/>
        <rFont val="Noto Sans CJK SC"/>
        <charset val="134"/>
      </rPr>
      <t>术后（剔除）</t>
    </r>
    <r>
      <rPr>
        <sz val="10"/>
        <rFont val="Arial"/>
        <charset val="1"/>
      </rPr>
      <t>/</t>
    </r>
    <r>
      <rPr>
        <sz val="10"/>
        <rFont val="Noto Sans CJK SC"/>
        <charset val="134"/>
      </rPr>
      <t>无法判断</t>
    </r>
    <r>
      <rPr>
        <sz val="10"/>
        <rFont val="Arial"/>
        <charset val="1"/>
      </rPr>
      <t>"</t>
    </r>
    <r>
      <rPr>
        <sz val="10"/>
        <rFont val="Noto Sans CJK SC"/>
        <charset val="134"/>
      </rPr>
      <t>。</t>
    </r>
    <r>
      <rPr>
        <sz val="10"/>
        <rFont val="Arial"/>
        <charset val="1"/>
      </rPr>
      <t xml:space="preserve">J </t>
    </r>
    <r>
      <rPr>
        <sz val="10"/>
        <rFont val="Noto Sans CJK SC"/>
        <charset val="134"/>
      </rPr>
      <t>列标了橙色的是报告里出现</t>
    </r>
    <r>
      <rPr>
        <sz val="10"/>
        <rFont val="Arial"/>
        <charset val="1"/>
      </rPr>
      <t>"</t>
    </r>
    <r>
      <rPr>
        <sz val="10"/>
        <rFont val="Noto Sans CJK SC"/>
        <charset val="134"/>
      </rPr>
      <t>术后</t>
    </r>
    <r>
      <rPr>
        <sz val="10"/>
        <rFont val="Arial"/>
        <charset val="1"/>
      </rPr>
      <t>/</t>
    </r>
    <r>
      <rPr>
        <sz val="10"/>
        <rFont val="Noto Sans CJK SC"/>
        <charset val="134"/>
      </rPr>
      <t>吻合口</t>
    </r>
    <r>
      <rPr>
        <sz val="10"/>
        <rFont val="Arial"/>
        <charset val="1"/>
      </rPr>
      <t>"</t>
    </r>
    <r>
      <rPr>
        <sz val="10"/>
        <rFont val="Noto Sans CJK SC"/>
        <charset val="134"/>
      </rPr>
      <t>字样的。</t>
    </r>
  </si>
  <si>
    <r>
      <rPr>
        <b/>
        <sz val="10"/>
        <rFont val="Noto Sans CJK SC"/>
        <charset val="134"/>
      </rPr>
      <t xml:space="preserve">距手术超过 </t>
    </r>
    <r>
      <rPr>
        <b/>
        <sz val="10"/>
        <rFont val="Arial"/>
        <charset val="1"/>
      </rPr>
      <t xml:space="preserve">7 </t>
    </r>
    <r>
      <rPr>
        <b/>
        <sz val="10"/>
        <rFont val="Noto Sans CJK SC"/>
        <charset val="134"/>
      </rPr>
      <t>天</t>
    </r>
  </si>
  <si>
    <r>
      <rPr>
        <sz val="10"/>
        <rFont val="Noto Sans CJK SC"/>
        <charset val="134"/>
      </rPr>
      <t xml:space="preserve">表格末尾 </t>
    </r>
    <r>
      <rPr>
        <sz val="10"/>
        <rFont val="Arial"/>
        <charset val="1"/>
      </rPr>
      <t xml:space="preserve">27 </t>
    </r>
    <r>
      <rPr>
        <sz val="10"/>
        <rFont val="Noto Sans CJK SC"/>
        <charset val="134"/>
      </rPr>
      <t xml:space="preserve">行是距手术超过 </t>
    </r>
    <r>
      <rPr>
        <sz val="10"/>
        <rFont val="Arial"/>
        <charset val="1"/>
      </rPr>
      <t xml:space="preserve">7 </t>
    </r>
    <r>
      <rPr>
        <sz val="10"/>
        <rFont val="Noto Sans CJK SC"/>
        <charset val="134"/>
      </rPr>
      <t xml:space="preserve">天的索引检查（最长一份在术前约一年）。请在 </t>
    </r>
    <r>
      <rPr>
        <sz val="10"/>
        <rFont val="Arial"/>
        <charset val="1"/>
      </rPr>
      <t xml:space="preserve">M </t>
    </r>
    <r>
      <rPr>
        <sz val="10"/>
        <rFont val="Noto Sans CJK SC"/>
        <charset val="134"/>
      </rPr>
      <t>列判断它是否属于导致本次手术的这段病程。</t>
    </r>
  </si>
  <si>
    <r>
      <rPr>
        <b/>
        <sz val="11"/>
        <rFont val="Arial"/>
        <charset val="1"/>
      </rPr>
      <t>S3_</t>
    </r>
    <r>
      <rPr>
        <b/>
        <sz val="11"/>
        <rFont val="Noto Sans CJK SC"/>
        <charset val="134"/>
      </rPr>
      <t>超声报告阅读</t>
    </r>
  </si>
  <si>
    <r>
      <rPr>
        <sz val="10"/>
        <rFont val="Noto Sans CJK SC"/>
        <charset val="134"/>
      </rPr>
      <t xml:space="preserve">两名阅读者独立完成，至少一名是超声科医师。阅读者甲填本文件的 </t>
    </r>
    <r>
      <rPr>
        <sz val="10"/>
        <rFont val="Arial"/>
        <charset val="1"/>
      </rPr>
      <t xml:space="preserve">S3 </t>
    </r>
    <r>
      <rPr>
        <sz val="10"/>
        <rFont val="Noto Sans CJK SC"/>
        <charset val="134"/>
      </rPr>
      <t>工作表，阅读者乙填单独发给他的文件《</t>
    </r>
    <r>
      <rPr>
        <sz val="10"/>
        <rFont val="Arial"/>
        <charset val="1"/>
      </rPr>
      <t>S3</t>
    </r>
    <r>
      <rPr>
        <sz val="10"/>
        <rFont val="Noto Sans CJK SC"/>
        <charset val="134"/>
      </rPr>
      <t>超声报告阅读</t>
    </r>
    <r>
      <rPr>
        <sz val="10"/>
        <rFont val="Arial"/>
        <charset val="1"/>
      </rPr>
      <t>_</t>
    </r>
    <r>
      <rPr>
        <sz val="10"/>
        <rFont val="Noto Sans CJK SC"/>
        <charset val="134"/>
      </rPr>
      <t>阅读者乙</t>
    </r>
    <r>
      <rPr>
        <sz val="10"/>
        <rFont val="Arial"/>
        <charset val="1"/>
      </rPr>
      <t>.xlsx</t>
    </r>
    <r>
      <rPr>
        <sz val="10"/>
        <rFont val="Noto Sans CJK SC"/>
        <charset val="134"/>
      </rPr>
      <t>》。两人完成前不要互相看结果。</t>
    </r>
  </si>
  <si>
    <r>
      <rPr>
        <sz val="10"/>
        <rFont val="Noto Sans CJK SC"/>
        <charset val="134"/>
      </rPr>
      <t xml:space="preserve">对 </t>
    </r>
    <r>
      <rPr>
        <sz val="10"/>
        <rFont val="Arial"/>
        <charset val="1"/>
      </rPr>
      <t xml:space="preserve">119 </t>
    </r>
    <r>
      <rPr>
        <sz val="10"/>
        <rFont val="Noto Sans CJK SC"/>
        <charset val="134"/>
      </rPr>
      <t>份超声报告的每一项内容，判断报告里</t>
    </r>
    <r>
      <rPr>
        <sz val="10"/>
        <rFont val="Arial"/>
        <charset val="1"/>
      </rPr>
      <t>"</t>
    </r>
    <r>
      <rPr>
        <sz val="10"/>
        <rFont val="Noto Sans CJK SC"/>
        <charset val="134"/>
      </rPr>
      <t>有没有写</t>
    </r>
    <r>
      <rPr>
        <sz val="10"/>
        <rFont val="Arial"/>
        <charset val="1"/>
      </rPr>
      <t>"</t>
    </r>
    <r>
      <rPr>
        <sz val="10"/>
        <rFont val="Noto Sans CJK SC"/>
        <charset val="134"/>
      </rPr>
      <t>，只看报告写了什么，不推测医生做了什么。</t>
    </r>
  </si>
  <si>
    <r>
      <rPr>
        <b/>
        <sz val="10"/>
        <rFont val="Noto Sans CJK SC"/>
        <charset val="134"/>
      </rPr>
      <t>计</t>
    </r>
    <r>
      <rPr>
        <b/>
        <sz val="10"/>
        <rFont val="Arial"/>
        <charset val="1"/>
      </rPr>
      <t>"</t>
    </r>
    <r>
      <rPr>
        <b/>
        <sz val="10"/>
        <rFont val="Noto Sans CJK SC"/>
        <charset val="134"/>
      </rPr>
      <t>是</t>
    </r>
    <r>
      <rPr>
        <b/>
        <sz val="10"/>
        <rFont val="Arial"/>
        <charset val="1"/>
      </rPr>
      <t>"</t>
    </r>
    <r>
      <rPr>
        <b/>
        <sz val="10"/>
        <rFont val="Noto Sans CJK SC"/>
        <charset val="134"/>
      </rPr>
      <t>的规则</t>
    </r>
  </si>
  <si>
    <r>
      <rPr>
        <sz val="10"/>
        <rFont val="Noto Sans CJK SC"/>
        <charset val="134"/>
      </rPr>
      <t>技术要素（十二指肠、血管关系、回盲部、彩色多普勒等）只要报告写到就计</t>
    </r>
    <r>
      <rPr>
        <sz val="10"/>
        <rFont val="Arial"/>
        <charset val="1"/>
      </rPr>
      <t>"</t>
    </r>
    <r>
      <rPr>
        <sz val="10"/>
        <rFont val="Noto Sans CJK SC"/>
        <charset val="134"/>
      </rPr>
      <t>是</t>
    </r>
    <r>
      <rPr>
        <sz val="10"/>
        <rFont val="Arial"/>
        <charset val="1"/>
      </rPr>
      <t>"</t>
    </r>
    <r>
      <rPr>
        <sz val="10"/>
        <rFont val="Noto Sans CJK SC"/>
        <charset val="134"/>
      </rPr>
      <t>，不论结果正常还是异常。漩涡征只有在阳性描述时才计</t>
    </r>
    <r>
      <rPr>
        <sz val="10"/>
        <rFont val="Arial"/>
        <charset val="1"/>
      </rPr>
      <t>"</t>
    </r>
    <r>
      <rPr>
        <sz val="10"/>
        <rFont val="Noto Sans CJK SC"/>
        <charset val="134"/>
      </rPr>
      <t>是</t>
    </r>
    <r>
      <rPr>
        <sz val="10"/>
        <rFont val="Arial"/>
        <charset val="1"/>
      </rPr>
      <t>"</t>
    </r>
    <r>
      <rPr>
        <sz val="10"/>
        <rFont val="Noto Sans CJK SC"/>
        <charset val="134"/>
      </rPr>
      <t>，写</t>
    </r>
    <r>
      <rPr>
        <sz val="10"/>
        <rFont val="Arial"/>
        <charset val="1"/>
      </rPr>
      <t>"</t>
    </r>
    <r>
      <rPr>
        <sz val="10"/>
        <rFont val="Noto Sans CJK SC"/>
        <charset val="134"/>
      </rPr>
      <t>未见漩涡征</t>
    </r>
    <r>
      <rPr>
        <sz val="10"/>
        <rFont val="Arial"/>
        <charset val="1"/>
      </rPr>
      <t>"</t>
    </r>
    <r>
      <rPr>
        <sz val="10"/>
        <rFont val="Noto Sans CJK SC"/>
        <charset val="134"/>
      </rPr>
      <t>计</t>
    </r>
    <r>
      <rPr>
        <sz val="10"/>
        <rFont val="Arial"/>
        <charset val="1"/>
      </rPr>
      <t>"</t>
    </r>
    <r>
      <rPr>
        <sz val="10"/>
        <rFont val="Noto Sans CJK SC"/>
        <charset val="134"/>
      </rPr>
      <t>否</t>
    </r>
    <r>
      <rPr>
        <sz val="10"/>
        <rFont val="Arial"/>
        <charset val="1"/>
      </rPr>
      <t>"</t>
    </r>
    <r>
      <rPr>
        <sz val="10"/>
        <rFont val="Noto Sans CJK SC"/>
        <charset val="134"/>
      </rPr>
      <t>。给液只有写明</t>
    </r>
    <r>
      <rPr>
        <sz val="10"/>
        <rFont val="Arial"/>
        <charset val="1"/>
      </rPr>
      <t>"</t>
    </r>
    <r>
      <rPr>
        <sz val="10"/>
        <rFont val="Noto Sans CJK SC"/>
        <charset val="134"/>
      </rPr>
      <t>口服</t>
    </r>
    <r>
      <rPr>
        <sz val="10"/>
        <rFont val="Arial"/>
        <charset val="1"/>
      </rPr>
      <t>/</t>
    </r>
    <r>
      <rPr>
        <sz val="10"/>
        <rFont val="Noto Sans CJK SC"/>
        <charset val="134"/>
      </rPr>
      <t>注入</t>
    </r>
    <r>
      <rPr>
        <sz val="10"/>
        <rFont val="Arial"/>
        <charset val="1"/>
      </rPr>
      <t>"</t>
    </r>
    <r>
      <rPr>
        <sz val="10"/>
        <rFont val="Noto Sans CJK SC"/>
        <charset val="134"/>
      </rPr>
      <t>时才计</t>
    </r>
    <r>
      <rPr>
        <sz val="10"/>
        <rFont val="Arial"/>
        <charset val="1"/>
      </rPr>
      <t>"</t>
    </r>
    <r>
      <rPr>
        <sz val="10"/>
        <rFont val="Noto Sans CJK SC"/>
        <charset val="134"/>
      </rPr>
      <t>是</t>
    </r>
    <r>
      <rPr>
        <sz val="10"/>
        <rFont val="Arial"/>
        <charset val="1"/>
      </rPr>
      <t>"</t>
    </r>
    <r>
      <rPr>
        <sz val="10"/>
        <rFont val="Noto Sans CJK SC"/>
        <charset val="134"/>
      </rPr>
      <t>，只看到肠腔内有液体不算。肠气干扰只有明确写出影响显示时才计</t>
    </r>
    <r>
      <rPr>
        <sz val="10"/>
        <rFont val="Arial"/>
        <charset val="1"/>
      </rPr>
      <t>"</t>
    </r>
    <r>
      <rPr>
        <sz val="10"/>
        <rFont val="Noto Sans CJK SC"/>
        <charset val="134"/>
      </rPr>
      <t>是</t>
    </r>
    <r>
      <rPr>
        <sz val="10"/>
        <rFont val="Arial"/>
        <charset val="1"/>
      </rPr>
      <t>"</t>
    </r>
    <r>
      <rPr>
        <sz val="10"/>
        <rFont val="Noto Sans CJK SC"/>
        <charset val="134"/>
      </rPr>
      <t>。</t>
    </r>
  </si>
  <si>
    <t>刻意不提供的信息</t>
  </si>
  <si>
    <t>表中没有检查日期、检出标签和程序的自动编码，以免影响判断。</t>
  </si>
  <si>
    <t>填写示例（非真实病例）</t>
  </si>
  <si>
    <r>
      <rPr>
        <b/>
        <sz val="10"/>
        <rFont val="Arial"/>
        <charset val="1"/>
      </rPr>
      <t xml:space="preserve">S1 </t>
    </r>
    <r>
      <rPr>
        <b/>
        <sz val="10"/>
        <rFont val="Noto Sans CJK SC"/>
        <charset val="134"/>
      </rPr>
      <t>示例</t>
    </r>
  </si>
  <si>
    <r>
      <rPr>
        <sz val="10"/>
        <rFont val="Noto Sans CJK SC"/>
        <charset val="134"/>
      </rPr>
      <t>判定：</t>
    </r>
    <r>
      <rPr>
        <sz val="10"/>
        <rFont val="Arial"/>
        <charset val="1"/>
      </rPr>
      <t>"</t>
    </r>
    <r>
      <rPr>
        <sz val="10"/>
        <rFont val="Noto Sans CJK SC"/>
        <charset val="134"/>
      </rPr>
      <t>非本次手术确认（排除）</t>
    </r>
    <r>
      <rPr>
        <sz val="10"/>
        <rFont val="Arial"/>
        <charset val="1"/>
      </rPr>
      <t>"</t>
    </r>
    <r>
      <rPr>
        <sz val="10"/>
        <rFont val="Noto Sans CJK SC"/>
        <charset val="134"/>
      </rPr>
      <t>；依据：</t>
    </r>
    <r>
      <rPr>
        <sz val="10"/>
        <rFont val="Arial"/>
        <charset val="1"/>
      </rPr>
      <t>"</t>
    </r>
    <r>
      <rPr>
        <sz val="10"/>
        <rFont val="Noto Sans CJK SC"/>
        <charset val="134"/>
      </rPr>
      <t xml:space="preserve">本次为粘连松解术，手术经过未描述肠管旋转情况，旋转不良为 </t>
    </r>
    <r>
      <rPr>
        <sz val="10"/>
        <rFont val="Arial"/>
        <charset val="1"/>
      </rPr>
      <t xml:space="preserve">2015 </t>
    </r>
    <r>
      <rPr>
        <sz val="10"/>
        <rFont val="Noto Sans CJK SC"/>
        <charset val="134"/>
      </rPr>
      <t>年外院手术史</t>
    </r>
    <r>
      <rPr>
        <sz val="10"/>
        <rFont val="Arial"/>
        <charset val="1"/>
      </rPr>
      <t>"</t>
    </r>
    <r>
      <rPr>
        <sz val="10"/>
        <rFont val="Noto Sans CJK SC"/>
        <charset val="134"/>
      </rPr>
      <t>。</t>
    </r>
  </si>
  <si>
    <r>
      <rPr>
        <b/>
        <sz val="10"/>
        <rFont val="Arial"/>
        <charset val="1"/>
      </rPr>
      <t xml:space="preserve">S2 </t>
    </r>
    <r>
      <rPr>
        <b/>
        <sz val="10"/>
        <rFont val="Noto Sans CJK SC"/>
        <charset val="134"/>
      </rPr>
      <t>示例</t>
    </r>
  </si>
  <si>
    <r>
      <rPr>
        <sz val="10"/>
        <rFont val="Arial"/>
        <charset val="1"/>
      </rPr>
      <t xml:space="preserve">K </t>
    </r>
    <r>
      <rPr>
        <sz val="10"/>
        <rFont val="Noto Sans CJK SC"/>
        <charset val="134"/>
      </rPr>
      <t xml:space="preserve">列填 </t>
    </r>
    <r>
      <rPr>
        <sz val="10"/>
        <rFont val="Arial"/>
        <charset val="1"/>
      </rPr>
      <t>09:40</t>
    </r>
    <r>
      <rPr>
        <sz val="10"/>
        <rFont val="Noto Sans CJK SC"/>
        <charset val="134"/>
      </rPr>
      <t>；</t>
    </r>
    <r>
      <rPr>
        <sz val="10"/>
        <rFont val="Arial"/>
        <charset val="1"/>
      </rPr>
      <t xml:space="preserve">L </t>
    </r>
    <r>
      <rPr>
        <sz val="10"/>
        <rFont val="Noto Sans CJK SC"/>
        <charset val="134"/>
      </rPr>
      <t>列自动显示</t>
    </r>
    <r>
      <rPr>
        <sz val="10"/>
        <rFont val="Arial"/>
        <charset val="1"/>
      </rPr>
      <t>"</t>
    </r>
    <r>
      <rPr>
        <sz val="10"/>
        <rFont val="Noto Sans CJK SC"/>
        <charset val="134"/>
      </rPr>
      <t>术前</t>
    </r>
    <r>
      <rPr>
        <sz val="10"/>
        <rFont val="Arial"/>
        <charset val="1"/>
      </rPr>
      <t>"</t>
    </r>
    <r>
      <rPr>
        <sz val="10"/>
        <rFont val="Noto Sans CJK SC"/>
        <charset val="134"/>
      </rPr>
      <t xml:space="preserve">（检查时间 </t>
    </r>
    <r>
      <rPr>
        <sz val="10"/>
        <rFont val="Arial"/>
        <charset val="1"/>
      </rPr>
      <t xml:space="preserve">08:15 </t>
    </r>
    <r>
      <rPr>
        <sz val="10"/>
        <rFont val="Noto Sans CJK SC"/>
        <charset val="134"/>
      </rPr>
      <t>早于开刀时间）。</t>
    </r>
  </si>
  <si>
    <r>
      <rPr>
        <b/>
        <sz val="10"/>
        <rFont val="Arial"/>
        <charset val="1"/>
      </rPr>
      <t xml:space="preserve">S3 </t>
    </r>
    <r>
      <rPr>
        <b/>
        <sz val="10"/>
        <rFont val="Noto Sans CJK SC"/>
        <charset val="134"/>
      </rPr>
      <t>示例</t>
    </r>
  </si>
  <si>
    <r>
      <rPr>
        <sz val="10"/>
        <rFont val="Noto Sans CJK SC"/>
        <charset val="134"/>
      </rPr>
      <t>报告写</t>
    </r>
    <r>
      <rPr>
        <sz val="10"/>
        <rFont val="Arial"/>
        <charset val="1"/>
      </rPr>
      <t>"</t>
    </r>
    <r>
      <rPr>
        <sz val="10"/>
        <rFont val="Noto Sans CJK SC"/>
        <charset val="134"/>
      </rPr>
      <t>十二指肠水平部位于肠系膜上动脉后方</t>
    </r>
    <r>
      <rPr>
        <sz val="10"/>
        <rFont val="Arial"/>
        <charset val="1"/>
      </rPr>
      <t>"</t>
    </r>
    <r>
      <rPr>
        <sz val="10"/>
        <rFont val="Noto Sans CJK SC"/>
        <charset val="134"/>
      </rPr>
      <t>：十二指肠第三段</t>
    </r>
    <r>
      <rPr>
        <sz val="10"/>
        <rFont val="Arial"/>
        <charset val="1"/>
      </rPr>
      <t>=</t>
    </r>
    <r>
      <rPr>
        <sz val="10"/>
        <rFont val="Noto Sans CJK SC"/>
        <charset val="134"/>
      </rPr>
      <t>是，提及十二指肠</t>
    </r>
    <r>
      <rPr>
        <sz val="10"/>
        <rFont val="Arial"/>
        <charset val="1"/>
      </rPr>
      <t>=</t>
    </r>
    <r>
      <rPr>
        <sz val="10"/>
        <rFont val="Noto Sans CJK SC"/>
        <charset val="134"/>
      </rPr>
      <t>是，肠系膜上动、静脉位置关系</t>
    </r>
    <r>
      <rPr>
        <sz val="10"/>
        <rFont val="Arial"/>
        <charset val="1"/>
      </rPr>
      <t>=</t>
    </r>
    <r>
      <rPr>
        <sz val="10"/>
        <rFont val="Noto Sans CJK SC"/>
        <charset val="134"/>
      </rPr>
      <t>否（除非同时写了动静脉关系）。</t>
    </r>
  </si>
  <si>
    <t>填写进度（自动统计）</t>
  </si>
  <si>
    <r>
      <rPr>
        <b/>
        <sz val="10"/>
        <rFont val="Arial"/>
        <charset val="1"/>
      </rPr>
      <t xml:space="preserve">S1 </t>
    </r>
    <r>
      <rPr>
        <b/>
        <sz val="10"/>
        <rFont val="Noto Sans CJK SC"/>
        <charset val="134"/>
      </rPr>
      <t>已判定</t>
    </r>
  </si>
  <si>
    <r>
      <rPr>
        <sz val="10"/>
        <rFont val="Arial"/>
        <charset val="1"/>
      </rPr>
      <t xml:space="preserve">/ 34 </t>
    </r>
    <r>
      <rPr>
        <sz val="10"/>
        <rFont val="Noto Sans CJK SC"/>
        <charset val="134"/>
      </rPr>
      <t>例</t>
    </r>
  </si>
  <si>
    <r>
      <rPr>
        <b/>
        <sz val="10"/>
        <rFont val="Arial"/>
        <charset val="1"/>
      </rPr>
      <t xml:space="preserve">S2 </t>
    </r>
    <r>
      <rPr>
        <b/>
        <sz val="10"/>
        <rFont val="Noto Sans CJK SC"/>
        <charset val="134"/>
      </rPr>
      <t>已填手术时间或已判定</t>
    </r>
  </si>
  <si>
    <r>
      <rPr>
        <sz val="10"/>
        <rFont val="Arial"/>
        <charset val="1"/>
      </rPr>
      <t xml:space="preserve">/ 181 </t>
    </r>
    <r>
      <rPr>
        <sz val="10"/>
        <rFont val="Noto Sans CJK SC"/>
        <charset val="134"/>
      </rPr>
      <t>行</t>
    </r>
  </si>
  <si>
    <r>
      <rPr>
        <b/>
        <sz val="10"/>
        <rFont val="Arial"/>
        <charset val="1"/>
      </rPr>
      <t xml:space="preserve">S3 </t>
    </r>
    <r>
      <rPr>
        <b/>
        <sz val="10"/>
        <rFont val="Noto Sans CJK SC"/>
        <charset val="134"/>
      </rPr>
      <t>阅读者甲已读完</t>
    </r>
  </si>
  <si>
    <r>
      <rPr>
        <sz val="10"/>
        <rFont val="Arial"/>
        <charset val="1"/>
      </rPr>
      <t xml:space="preserve">/ 119 </t>
    </r>
    <r>
      <rPr>
        <sz val="10"/>
        <rFont val="Noto Sans CJK SC"/>
        <charset val="134"/>
      </rPr>
      <t>份（以</t>
    </r>
    <r>
      <rPr>
        <sz val="10"/>
        <rFont val="Arial"/>
        <charset val="1"/>
      </rPr>
      <t>"</t>
    </r>
    <r>
      <rPr>
        <sz val="10"/>
        <rFont val="Noto Sans CJK SC"/>
        <charset val="134"/>
      </rPr>
      <t>漩涡征</t>
    </r>
    <r>
      <rPr>
        <sz val="10"/>
        <rFont val="Arial"/>
        <charset val="1"/>
      </rPr>
      <t>"</t>
    </r>
    <r>
      <rPr>
        <sz val="10"/>
        <rFont val="Noto Sans CJK SC"/>
        <charset val="134"/>
      </rPr>
      <t>列已填计）</t>
    </r>
  </si>
  <si>
    <t>填完后把文件发回即可，我会据此剔除或保留病例并重算全部结果。</t>
  </si>
  <si>
    <t>序号</t>
  </si>
  <si>
    <t>患者编号</t>
  </si>
  <si>
    <t>筛出原因</t>
  </si>
  <si>
    <t>锚定手术日期</t>
  </si>
  <si>
    <t>该患儿纳入手术记录条数</t>
  </si>
  <si>
    <t>术中诊断（锚定手术）</t>
  </si>
  <si>
    <t>手术名称（锚定手术）</t>
  </si>
  <si>
    <t>手术经过（锚定手术，全文）</t>
  </si>
  <si>
    <t>该患儿全部手术记录（日期｜诊断｜手术名称）</t>
  </si>
  <si>
    <t>现有检出标签</t>
  </si>
  <si>
    <t>【填】判定</t>
  </si>
  <si>
    <r>
      <rPr>
        <b/>
        <sz val="10"/>
        <color rgb="FFFFFFFF"/>
        <rFont val="Noto Sans CJK SC"/>
        <charset val="134"/>
      </rPr>
      <t>【填】依据</t>
    </r>
    <r>
      <rPr>
        <b/>
        <sz val="10"/>
        <color rgb="FFFFFFFF"/>
        <rFont val="Arial"/>
        <charset val="1"/>
      </rPr>
      <t>/</t>
    </r>
    <r>
      <rPr>
        <b/>
        <sz val="10"/>
        <color rgb="FFFFFFFF"/>
        <rFont val="Noto Sans CJK SC"/>
        <charset val="134"/>
      </rPr>
      <t>备注</t>
    </r>
  </si>
  <si>
    <r>
      <rPr>
        <sz val="9"/>
        <rFont val="Noto Sans CJK SC"/>
        <charset val="134"/>
      </rPr>
      <t xml:space="preserve">手术名称中无 </t>
    </r>
    <r>
      <rPr>
        <sz val="9"/>
        <rFont val="Arial"/>
        <charset val="1"/>
      </rPr>
      <t>Ladd/</t>
    </r>
    <r>
      <rPr>
        <sz val="9"/>
        <rFont val="Noto Sans CJK SC"/>
        <charset val="134"/>
      </rPr>
      <t>复位</t>
    </r>
    <r>
      <rPr>
        <sz val="9"/>
        <rFont val="Arial"/>
        <charset val="1"/>
      </rPr>
      <t>/</t>
    </r>
    <r>
      <rPr>
        <sz val="9"/>
        <rFont val="Noto Sans CJK SC"/>
        <charset val="134"/>
      </rPr>
      <t>旋转不良字样</t>
    </r>
  </si>
  <si>
    <t>2017-07-07</t>
  </si>
  <si>
    <t>先天性肠旋转不良，粘连性肠梗阻，回肠穿孔</t>
  </si>
  <si>
    <r>
      <rPr>
        <sz val="9"/>
        <rFont val="Arial"/>
        <charset val="1"/>
      </rPr>
      <t>1</t>
    </r>
    <r>
      <rPr>
        <sz val="9"/>
        <rFont val="Noto Sans CJK SC"/>
        <charset val="134"/>
      </rPr>
      <t>．麻醉满意后，患儿取仰卧位，常规消毒铺巾。</t>
    </r>
    <r>
      <rPr>
        <sz val="9"/>
        <rFont val="Arial"/>
        <charset val="1"/>
      </rPr>
      <t>2</t>
    </r>
    <r>
      <rPr>
        <sz val="9"/>
        <rFont val="Noto Sans CJK SC"/>
        <charset val="134"/>
      </rPr>
      <t>．自右侧探查切口，长约</t>
    </r>
    <r>
      <rPr>
        <sz val="9"/>
        <rFont val="Arial"/>
        <charset val="1"/>
      </rPr>
      <t>4cm</t>
    </r>
    <r>
      <rPr>
        <sz val="9"/>
        <rFont val="Noto Sans CJK SC"/>
        <charset val="134"/>
      </rPr>
      <t>，依次切开入腹，探查腹腔：见回盲部位于左上腹，中肠顺时针旋转</t>
    </r>
    <r>
      <rPr>
        <sz val="9"/>
        <rFont val="Arial"/>
        <charset val="1"/>
      </rPr>
      <t>360</t>
    </r>
    <r>
      <rPr>
        <sz val="9"/>
        <rFont val="Noto Sans CJK SC"/>
        <charset val="134"/>
      </rPr>
      <t>度，十二指肠及空肠起始位置未见异常，空回肠有多处肠管被炎性索带压迫，松解压迫，见回肠起始部一</t>
    </r>
    <r>
      <rPr>
        <sz val="9"/>
        <rFont val="Arial"/>
        <charset val="1"/>
      </rPr>
      <t>0.5cm</t>
    </r>
    <r>
      <rPr>
        <sz val="9"/>
        <rFont val="Noto Sans CJK SC"/>
        <charset val="134"/>
      </rPr>
      <t xml:space="preserve">穿孔，予以修补，检查未见漏气。
</t>
    </r>
    <r>
      <rPr>
        <sz val="9"/>
        <rFont val="Arial"/>
        <charset val="1"/>
      </rPr>
      <t>3</t>
    </r>
    <r>
      <rPr>
        <sz val="9"/>
        <rFont val="Noto Sans CJK SC"/>
        <charset val="134"/>
      </rPr>
      <t>．逆时针旋转复位中肠，松解</t>
    </r>
    <r>
      <rPr>
        <sz val="9"/>
        <rFont val="Arial"/>
        <charset val="1"/>
      </rPr>
      <t>ladd's</t>
    </r>
    <r>
      <rPr>
        <sz val="9"/>
        <rFont val="Noto Sans CJK SC"/>
        <charset val="134"/>
      </rPr>
      <t>板，松解空肠部粘连，摊平小肠系膜，系膜宽度约４</t>
    </r>
    <r>
      <rPr>
        <sz val="9"/>
        <rFont val="Arial"/>
        <charset val="1"/>
      </rPr>
      <t>cm</t>
    </r>
    <r>
      <rPr>
        <sz val="9"/>
        <rFont val="Noto Sans CJK SC"/>
        <charset val="134"/>
      </rPr>
      <t>。探查十二指肠通畅，未发现异常。</t>
    </r>
    <r>
      <rPr>
        <sz val="9"/>
        <rFont val="Arial"/>
        <charset val="1"/>
      </rPr>
      <t>4</t>
    </r>
    <r>
      <rPr>
        <sz val="9"/>
        <rFont val="Noto Sans CJK SC"/>
        <charset val="134"/>
      </rPr>
      <t xml:space="preserve">．结扎阑尾系膜，内套阑尾。
</t>
    </r>
    <r>
      <rPr>
        <sz val="9"/>
        <rFont val="Arial"/>
        <charset val="1"/>
      </rPr>
      <t>5</t>
    </r>
    <r>
      <rPr>
        <sz val="9"/>
        <rFont val="Noto Sans CJK SC"/>
        <charset val="134"/>
      </rPr>
      <t>．将回盲部及横结肠、升结肠置左侧腹部，十二指肠及空肠置右侧腹部，余肠管顺次还纳入腹。清点纱布器械无误，生物止血流体膜冲洗腹腔，留置透明质酸钠一支预防肠粘连，右下腹置腹腔引流管一根，逐层关腹，缝合伤口，组织胶粘合皮肤，术中失血</t>
    </r>
    <r>
      <rPr>
        <sz val="9"/>
        <rFont val="Arial"/>
        <charset val="1"/>
      </rPr>
      <t>10ml</t>
    </r>
    <r>
      <rPr>
        <sz val="9"/>
        <rFont val="Noto Sans CJK SC"/>
        <charset val="134"/>
      </rPr>
      <t>，未输血，手术顺利，术毕</t>
    </r>
  </si>
  <si>
    <r>
      <rPr>
        <sz val="9"/>
        <rFont val="Noto Sans CJK SC"/>
        <charset val="134"/>
      </rPr>
      <t>【锚定】</t>
    </r>
    <r>
      <rPr>
        <sz val="9"/>
        <rFont val="Arial"/>
        <charset val="1"/>
      </rPr>
      <t>2017-07-07</t>
    </r>
    <r>
      <rPr>
        <sz val="9"/>
        <rFont val="Noto Sans CJK SC"/>
        <charset val="134"/>
      </rPr>
      <t>｜先天性肠旋转不良，粘连性肠梗阻，回肠穿孔｜</t>
    </r>
  </si>
  <si>
    <r>
      <rPr>
        <sz val="9"/>
        <rFont val="Arial"/>
        <charset val="1"/>
      </rPr>
      <t>US=</t>
    </r>
    <r>
      <rPr>
        <sz val="9"/>
        <rFont val="Noto Sans CJK SC"/>
        <charset val="134"/>
      </rPr>
      <t>未检出；</t>
    </r>
    <r>
      <rPr>
        <sz val="9"/>
        <rFont val="Arial"/>
        <charset val="1"/>
      </rPr>
      <t>CT=</t>
    </r>
    <r>
      <rPr>
        <sz val="9"/>
        <rFont val="Noto Sans CJK SC"/>
        <charset val="134"/>
      </rPr>
      <t>未检出</t>
    </r>
  </si>
  <si>
    <t>本次手术确认肠旋转不良（保留）</t>
  </si>
  <si>
    <t>2015-02-10</t>
  </si>
  <si>
    <t>肠闭锁（多发，全肠）、先天性肠旋转不良</t>
  </si>
  <si>
    <r>
      <rPr>
        <sz val="9"/>
        <rFont val="Noto Sans CJK SC"/>
        <charset val="134"/>
      </rPr>
      <t>剖腹探查术</t>
    </r>
    <r>
      <rPr>
        <sz val="9"/>
        <rFont val="Arial"/>
        <charset val="1"/>
      </rPr>
      <t>+</t>
    </r>
    <r>
      <rPr>
        <sz val="9"/>
        <rFont val="Noto Sans CJK SC"/>
        <charset val="134"/>
      </rPr>
      <t>肠粘连松解术</t>
    </r>
  </si>
  <si>
    <r>
      <rPr>
        <sz val="9"/>
        <rFont val="Noto Sans CJK SC"/>
        <charset val="134"/>
      </rPr>
      <t>患儿取仰卧位，麻醉满意后常规消毒铺巾，取右上腹脐上</t>
    </r>
    <r>
      <rPr>
        <sz val="9"/>
        <rFont val="Arial"/>
        <charset val="1"/>
      </rPr>
      <t>2</t>
    </r>
    <r>
      <rPr>
        <sz val="9"/>
        <rFont val="Noto Sans CJK SC"/>
        <charset val="134"/>
      </rPr>
      <t>厘米做横行切口</t>
    </r>
    <r>
      <rPr>
        <sz val="9"/>
        <rFont val="Arial"/>
        <charset val="1"/>
      </rPr>
      <t>4</t>
    </r>
    <r>
      <rPr>
        <sz val="9"/>
        <rFont val="Noto Sans CJK SC"/>
        <charset val="134"/>
      </rPr>
      <t>厘米锐性分离逐层进腹，探查腹腔，未见渗液，右上腹可见高度扩张肠管，直径</t>
    </r>
    <r>
      <rPr>
        <sz val="9"/>
        <rFont val="Arial"/>
        <charset val="1"/>
      </rPr>
      <t>3</t>
    </r>
    <r>
      <rPr>
        <sz val="9"/>
        <rFont val="Noto Sans CJK SC"/>
        <charset val="134"/>
      </rPr>
      <t>厘米，壁薄透亮，右侧腹壁有索带与扩张肠管粘连。托出全部肠管置腹腔外探查，可见回盲部位于左上腹，肠系膜根部顺时针扭转</t>
    </r>
    <r>
      <rPr>
        <sz val="9"/>
        <rFont val="Arial"/>
        <charset val="1"/>
      </rPr>
      <t>540°</t>
    </r>
    <r>
      <rPr>
        <sz val="9"/>
        <rFont val="Noto Sans CJK SC"/>
        <charset val="134"/>
      </rPr>
      <t>，右侧腹扩张肠袢长约</t>
    </r>
    <r>
      <rPr>
        <sz val="9"/>
        <rFont val="Arial"/>
        <charset val="1"/>
      </rPr>
      <t>15</t>
    </r>
    <r>
      <rPr>
        <sz val="9"/>
        <rFont val="Noto Sans CJK SC"/>
        <charset val="134"/>
      </rPr>
      <t>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每隔约</t>
    </r>
    <r>
      <rPr>
        <sz val="9"/>
        <rFont val="Arial"/>
        <charset val="1"/>
      </rPr>
      <t>3-5</t>
    </r>
    <r>
      <rPr>
        <sz val="9"/>
        <rFont val="Noto Sans CJK SC"/>
        <charset val="134"/>
      </rPr>
      <t>厘米就有一处闭锁，同时闭锁两侧系膜缺失，如同腊肠样，闭锁肠袢游离，直至距回盲部</t>
    </r>
    <r>
      <rPr>
        <sz val="9"/>
        <rFont val="Arial"/>
        <charset val="1"/>
      </rPr>
      <t>15</t>
    </r>
    <r>
      <rPr>
        <sz val="9"/>
        <rFont val="Noto Sans CJK SC"/>
        <charset val="134"/>
      </rPr>
      <t>厘米处仍然可见一处闭锁。闭锁肠管发育差，肠内空虚，未见胎粪，部分肠管发育如同细丝状，无管腔结构，全肠闭锁共</t>
    </r>
    <r>
      <rPr>
        <sz val="9"/>
        <rFont val="Arial"/>
        <charset val="1"/>
      </rPr>
      <t>36</t>
    </r>
    <r>
      <rPr>
        <sz val="9"/>
        <rFont val="Noto Sans CJK SC"/>
        <charset val="134"/>
      </rPr>
      <t>处。结肠全位于左侧腹，发育差直径</t>
    </r>
    <r>
      <rPr>
        <sz val="9"/>
        <rFont val="Arial"/>
        <charset val="1"/>
      </rPr>
      <t>0.5</t>
    </r>
    <r>
      <rPr>
        <sz val="9"/>
        <rFont val="Noto Sans CJK SC"/>
        <charset val="134"/>
      </rPr>
      <t>厘米。术中请患儿父亲至手术室了解术中情况，告知患儿全肠多发闭锁，且合并先天性肠旋转不良，全肠管发育差，预后不良。家长拒绝继续手术，要求放弃治疗，一切后果自负并签字在手术同意书。故减压扩张肠管，拉至十二指肠，空肠及部分小肠置于右侧腹，结肠及或回盲部置于左侧腹，逐层关腹。术中患儿反复心率下降，予以多巴胺维持，术后拔管患儿氧饱和度不能维持正常，需吸氧后饱和度维持在</t>
    </r>
    <r>
      <rPr>
        <sz val="9"/>
        <rFont val="Arial"/>
        <charset val="1"/>
      </rPr>
      <t>92%</t>
    </r>
    <r>
      <rPr>
        <sz val="9"/>
        <rFont val="Noto Sans CJK SC"/>
        <charset val="134"/>
      </rPr>
      <t>以上，考虑心肺功能发育差。术中出血</t>
    </r>
    <r>
      <rPr>
        <sz val="9"/>
        <rFont val="Arial"/>
        <charset val="1"/>
      </rPr>
      <t>1</t>
    </r>
    <r>
      <rPr>
        <sz val="9"/>
        <rFont val="Noto Sans CJK SC"/>
        <charset val="134"/>
      </rPr>
      <t>毫升，未输血。</t>
    </r>
  </si>
  <si>
    <r>
      <rPr>
        <sz val="9"/>
        <rFont val="Noto Sans CJK SC"/>
        <charset val="134"/>
      </rPr>
      <t>【锚定】</t>
    </r>
    <r>
      <rPr>
        <sz val="9"/>
        <rFont val="Arial"/>
        <charset val="1"/>
      </rPr>
      <t>2015-02-10</t>
    </r>
    <r>
      <rPr>
        <sz val="9"/>
        <rFont val="Noto Sans CJK SC"/>
        <charset val="134"/>
      </rPr>
      <t>｜肠闭锁（多发，全肠）、先天性肠旋转不良｜剖腹探查术</t>
    </r>
    <r>
      <rPr>
        <sz val="9"/>
        <rFont val="Arial"/>
        <charset val="1"/>
      </rPr>
      <t>+</t>
    </r>
    <r>
      <rPr>
        <sz val="9"/>
        <rFont val="Noto Sans CJK SC"/>
        <charset val="134"/>
      </rPr>
      <t>肠粘连松解术</t>
    </r>
  </si>
  <si>
    <r>
      <rPr>
        <sz val="9"/>
        <rFont val="Arial"/>
        <charset val="1"/>
      </rPr>
      <t>CT=</t>
    </r>
    <r>
      <rPr>
        <sz val="9"/>
        <rFont val="Noto Sans CJK SC"/>
        <charset val="134"/>
      </rPr>
      <t>未检出</t>
    </r>
  </si>
  <si>
    <r>
      <rPr>
        <sz val="9"/>
        <rFont val="Noto Sans CJK SC"/>
        <charset val="134"/>
      </rPr>
      <t>诊断中的旋转不良带问号或</t>
    </r>
    <r>
      <rPr>
        <sz val="9"/>
        <rFont val="Arial"/>
        <charset val="1"/>
      </rPr>
      <t>"</t>
    </r>
    <r>
      <rPr>
        <sz val="9"/>
        <rFont val="Noto Sans CJK SC"/>
        <charset val="134"/>
      </rPr>
      <t>可能</t>
    </r>
    <r>
      <rPr>
        <sz val="9"/>
        <rFont val="Arial"/>
        <charset val="1"/>
      </rPr>
      <t>"</t>
    </r>
  </si>
  <si>
    <t>2016-07-06</t>
  </si>
  <si>
    <t>先天性肥厚性幽门狭窄，中肠旋转不良？</t>
  </si>
  <si>
    <r>
      <rPr>
        <sz val="9"/>
        <rFont val="Noto Sans CJK SC"/>
        <charset val="134"/>
      </rPr>
      <t>腹腔镜探查</t>
    </r>
    <r>
      <rPr>
        <sz val="9"/>
        <rFont val="Arial"/>
        <charset val="1"/>
      </rPr>
      <t>+</t>
    </r>
    <r>
      <rPr>
        <sz val="9"/>
        <rFont val="Noto Sans CJK SC"/>
        <charset val="134"/>
      </rPr>
      <t>幽门环肌切开术</t>
    </r>
  </si>
  <si>
    <r>
      <rPr>
        <sz val="9"/>
        <rFont val="Noto Sans CJK SC"/>
        <charset val="134"/>
      </rPr>
      <t>取平卧位，于上述麻醉下，常规消毒皮肤，留置尿管，铺无菌巾，经脐部麻醉成功后，于脐环左右侧</t>
    </r>
    <r>
      <rPr>
        <sz val="9"/>
        <rFont val="Arial"/>
        <charset val="1"/>
      </rPr>
      <t>Veress</t>
    </r>
    <r>
      <rPr>
        <sz val="9"/>
        <rFont val="Noto Sans CJK SC"/>
        <charset val="134"/>
      </rPr>
      <t>针穿刺入腹，注入</t>
    </r>
    <r>
      <rPr>
        <sz val="9"/>
        <rFont val="Arial"/>
        <charset val="1"/>
      </rPr>
      <t>CO2</t>
    </r>
    <r>
      <rPr>
        <sz val="9"/>
        <rFont val="Noto Sans CJK SC"/>
        <charset val="134"/>
      </rPr>
      <t>，建立气腹。此处置</t>
    </r>
    <r>
      <rPr>
        <sz val="9"/>
        <rFont val="Arial"/>
        <charset val="1"/>
      </rPr>
      <t>3mm  Trocar</t>
    </r>
    <r>
      <rPr>
        <sz val="9"/>
        <rFont val="Noto Sans CJK SC"/>
        <charset val="134"/>
      </rPr>
      <t>，放入腹腔镜，腹腔镜直视下，左上腹置</t>
    </r>
    <r>
      <rPr>
        <sz val="9"/>
        <rFont val="Arial"/>
        <charset val="1"/>
      </rPr>
      <t>3mm Trocar</t>
    </r>
    <r>
      <rPr>
        <sz val="9"/>
        <rFont val="Noto Sans CJK SC"/>
        <charset val="134"/>
      </rPr>
      <t>一个，放入操作器械。探查下腹见双侧内环口已闭合。回盲部位于右侧肝缘下，横结肠及以远结肠位于中上腹及左侧下腹部。探查肠系膜根部未见扭转，空肠起始部在脊柱中线偏左侧，考虑不典型中肠旋转不良。因患儿术前无典型肠旋转不良临床表现，故无需行</t>
    </r>
    <r>
      <rPr>
        <sz val="9"/>
        <rFont val="Arial"/>
        <charset val="1"/>
      </rPr>
      <t>ladd~s</t>
    </r>
    <r>
      <rPr>
        <sz val="9"/>
        <rFont val="Noto Sans CJK SC"/>
        <charset val="134"/>
      </rPr>
      <t>术。
    探查幽门呈</t>
    </r>
    <r>
      <rPr>
        <sz val="9"/>
        <rFont val="Arial"/>
        <charset val="1"/>
      </rPr>
      <t>2.0×2cm</t>
    </r>
    <r>
      <rPr>
        <sz val="9"/>
        <rFont val="Noto Sans CJK SC"/>
        <charset val="134"/>
      </rPr>
      <t>苍白包块，质脆，光滑，于幽门前上方无血管区切开刀纵行切开部分浆肌层，分离钳分离肌层，使粘膜膨出，幽门肌层厚约</t>
    </r>
    <r>
      <rPr>
        <sz val="9"/>
        <rFont val="Arial"/>
        <charset val="1"/>
      </rPr>
      <t>0.6cm</t>
    </r>
    <r>
      <rPr>
        <sz val="9"/>
        <rFont val="Noto Sans CJK SC"/>
        <charset val="134"/>
      </rPr>
      <t>。检查粘膜无损伤，排出</t>
    </r>
    <r>
      <rPr>
        <sz val="9"/>
        <rFont val="Arial"/>
        <charset val="1"/>
      </rPr>
      <t>CO2</t>
    </r>
    <r>
      <rPr>
        <sz val="9"/>
        <rFont val="Noto Sans CJK SC"/>
        <charset val="134"/>
      </rPr>
      <t>，取出操作器械及套管，皮肤涂抹医用胶，手术经过顺利，术后安返病房。</t>
    </r>
  </si>
  <si>
    <r>
      <rPr>
        <sz val="9"/>
        <rFont val="Noto Sans CJK SC"/>
        <charset val="134"/>
      </rPr>
      <t>【锚定】</t>
    </r>
    <r>
      <rPr>
        <sz val="9"/>
        <rFont val="Arial"/>
        <charset val="1"/>
      </rPr>
      <t>2016-07-06</t>
    </r>
    <r>
      <rPr>
        <sz val="9"/>
        <rFont val="Noto Sans CJK SC"/>
        <charset val="134"/>
      </rPr>
      <t>｜先天性肥厚性幽门狭窄，中肠旋转不良？｜腹腔镜探查</t>
    </r>
    <r>
      <rPr>
        <sz val="9"/>
        <rFont val="Arial"/>
        <charset val="1"/>
      </rPr>
      <t>+</t>
    </r>
    <r>
      <rPr>
        <sz val="9"/>
        <rFont val="Noto Sans CJK SC"/>
        <charset val="134"/>
      </rPr>
      <t>幽门环肌切开术</t>
    </r>
  </si>
  <si>
    <r>
      <rPr>
        <sz val="9"/>
        <rFont val="Arial"/>
        <charset val="1"/>
      </rPr>
      <t>UGI=</t>
    </r>
    <r>
      <rPr>
        <sz val="9"/>
        <rFont val="Noto Sans CJK SC"/>
        <charset val="134"/>
      </rPr>
      <t>检出</t>
    </r>
  </si>
  <si>
    <t>非本次手术确认（排除）</t>
  </si>
  <si>
    <r>
      <rPr>
        <sz val="9"/>
        <rFont val="Noto Sans CJK SC"/>
        <charset val="134"/>
      </rPr>
      <t>诊断写</t>
    </r>
    <r>
      <rPr>
        <sz val="9"/>
        <rFont val="Arial"/>
        <charset val="1"/>
      </rPr>
      <t>"</t>
    </r>
    <r>
      <rPr>
        <sz val="9"/>
        <rFont val="Noto Sans CJK SC"/>
        <charset val="134"/>
      </rPr>
      <t>肠旋转不良术后</t>
    </r>
    <r>
      <rPr>
        <sz val="9"/>
        <rFont val="Arial"/>
        <charset val="1"/>
      </rPr>
      <t>"</t>
    </r>
    <r>
      <rPr>
        <sz val="9"/>
        <rFont val="Noto Sans CJK SC"/>
        <charset val="134"/>
      </rPr>
      <t>（既往已手术），本次手术不是旋转不良手术；本次操作为内镜或活检，未开腹</t>
    </r>
    <r>
      <rPr>
        <sz val="9"/>
        <rFont val="Arial"/>
        <charset val="1"/>
      </rPr>
      <t>/</t>
    </r>
    <r>
      <rPr>
        <sz val="9"/>
        <rFont val="Noto Sans CJK SC"/>
        <charset val="134"/>
      </rPr>
      <t>腹腔镜探查</t>
    </r>
  </si>
  <si>
    <t>2021-04-26</t>
  </si>
  <si>
    <r>
      <rPr>
        <sz val="9"/>
        <rFont val="Arial"/>
        <charset val="1"/>
      </rPr>
      <t>1.(</t>
    </r>
    <r>
      <rPr>
        <sz val="9"/>
        <rFont val="Noto Sans CJK SC"/>
        <charset val="134"/>
      </rPr>
      <t>胎粪性肠梗阻肠旋转不良术后</t>
    </r>
    <r>
      <rPr>
        <sz val="9"/>
        <rFont val="Arial"/>
        <charset val="1"/>
      </rPr>
      <t>)</t>
    </r>
    <r>
      <rPr>
        <sz val="9"/>
        <rFont val="Noto Sans CJK SC"/>
        <charset val="134"/>
      </rPr>
      <t>关闭回肠造口</t>
    </r>
  </si>
  <si>
    <t>开放性直肠活组织检查</t>
  </si>
  <si>
    <r>
      <rPr>
        <sz val="9"/>
        <rFont val="Noto Sans CJK SC"/>
        <charset val="134"/>
      </rPr>
      <t>麻醉成功后，患儿取截石位，常规消毒铺无菌巾单。取直肠后壁距肛门口</t>
    </r>
    <r>
      <rPr>
        <sz val="9"/>
        <rFont val="Arial"/>
        <charset val="1"/>
      </rPr>
      <t>3cm</t>
    </r>
    <r>
      <rPr>
        <sz val="9"/>
        <rFont val="Noto Sans CJK SC"/>
        <charset val="134"/>
      </rPr>
      <t>直肠全层组织</t>
    </r>
    <r>
      <rPr>
        <sz val="9"/>
        <rFont val="Arial"/>
        <charset val="1"/>
      </rPr>
      <t>0.5x0.5cm</t>
    </r>
    <r>
      <rPr>
        <sz val="9"/>
        <rFont val="Noto Sans CJK SC"/>
        <charset val="134"/>
      </rPr>
      <t>一块送病检，取活检处以</t>
    </r>
    <r>
      <rPr>
        <sz val="9"/>
        <rFont val="Arial"/>
        <charset val="1"/>
      </rPr>
      <t>4</t>
    </r>
    <r>
      <rPr>
        <sz val="9"/>
        <rFont val="Noto Sans CJK SC"/>
        <charset val="134"/>
      </rPr>
      <t>－</t>
    </r>
    <r>
      <rPr>
        <sz val="9"/>
        <rFont val="Arial"/>
        <charset val="1"/>
      </rPr>
      <t>0Dexon</t>
    </r>
    <r>
      <rPr>
        <sz val="9"/>
        <rFont val="Noto Sans CJK SC"/>
        <charset val="134"/>
      </rPr>
      <t>线缝合创面无活动性出血，再次消毒创面。术毕。
手术顺利，出血少于</t>
    </r>
    <r>
      <rPr>
        <sz val="9"/>
        <rFont val="Arial"/>
        <charset val="1"/>
      </rPr>
      <t>1ml</t>
    </r>
    <r>
      <rPr>
        <sz val="9"/>
        <rFont val="Noto Sans CJK SC"/>
        <charset val="134"/>
      </rPr>
      <t>，麻醉满意。术毕患儿安返病房。</t>
    </r>
  </si>
  <si>
    <r>
      <rPr>
        <sz val="9"/>
        <rFont val="Noto Sans CJK SC"/>
        <charset val="134"/>
      </rPr>
      <t>【锚定】</t>
    </r>
    <r>
      <rPr>
        <sz val="9"/>
        <rFont val="Arial"/>
        <charset val="1"/>
      </rPr>
      <t>2021-04-26</t>
    </r>
    <r>
      <rPr>
        <sz val="9"/>
        <rFont val="Noto Sans CJK SC"/>
        <charset val="134"/>
      </rPr>
      <t>｜</t>
    </r>
    <r>
      <rPr>
        <sz val="9"/>
        <rFont val="Arial"/>
        <charset val="1"/>
      </rPr>
      <t>1.(</t>
    </r>
    <r>
      <rPr>
        <sz val="9"/>
        <rFont val="Noto Sans CJK SC"/>
        <charset val="134"/>
      </rPr>
      <t>胎粪性肠梗阻肠旋转不良术后</t>
    </r>
    <r>
      <rPr>
        <sz val="9"/>
        <rFont val="Arial"/>
        <charset val="1"/>
      </rPr>
      <t>)</t>
    </r>
    <r>
      <rPr>
        <sz val="9"/>
        <rFont val="Noto Sans CJK SC"/>
        <charset val="134"/>
      </rPr>
      <t>关闭回肠造口｜开放性直肠活组织检查</t>
    </r>
  </si>
  <si>
    <t>不在分析矩阵中</t>
  </si>
  <si>
    <r>
      <rPr>
        <sz val="9"/>
        <rFont val="Noto Sans CJK SC"/>
        <charset val="134"/>
      </rPr>
      <t>诊断中的旋转不良带问号或</t>
    </r>
    <r>
      <rPr>
        <sz val="9"/>
        <rFont val="Arial"/>
        <charset val="1"/>
      </rPr>
      <t>"</t>
    </r>
    <r>
      <rPr>
        <sz val="9"/>
        <rFont val="Noto Sans CJK SC"/>
        <charset val="134"/>
      </rPr>
      <t>可能</t>
    </r>
    <r>
      <rPr>
        <sz val="9"/>
        <rFont val="Arial"/>
        <charset val="1"/>
      </rPr>
      <t>"</t>
    </r>
    <r>
      <rPr>
        <sz val="9"/>
        <rFont val="Noto Sans CJK SC"/>
        <charset val="134"/>
      </rPr>
      <t>；本次操作为内镜或活检，未开腹</t>
    </r>
    <r>
      <rPr>
        <sz val="9"/>
        <rFont val="Arial"/>
        <charset val="1"/>
      </rPr>
      <t>/</t>
    </r>
    <r>
      <rPr>
        <sz val="9"/>
        <rFont val="Noto Sans CJK SC"/>
        <charset val="134"/>
      </rPr>
      <t>腹腔镜探查</t>
    </r>
  </si>
  <si>
    <t>2018-06-22</t>
  </si>
  <si>
    <t>便秘、中肠肠旋转不良？</t>
  </si>
  <si>
    <t>结肠镜下大肠活组织检查</t>
  </si>
  <si>
    <r>
      <rPr>
        <sz val="9"/>
        <rFont val="Arial"/>
        <charset val="1"/>
      </rPr>
      <t>1.</t>
    </r>
    <r>
      <rPr>
        <sz val="9"/>
        <rFont val="Noto Sans CJK SC"/>
        <charset val="134"/>
      </rPr>
      <t>取平卧位，麻醉成功后，经肛门置肠镜至结肠脾区，检查未见明显狭窄段及扩张段，分别取距肛门</t>
    </r>
    <r>
      <rPr>
        <sz val="9"/>
        <rFont val="Arial"/>
        <charset val="1"/>
      </rPr>
      <t>5cm</t>
    </r>
    <r>
      <rPr>
        <sz val="9"/>
        <rFont val="Noto Sans CJK SC"/>
        <charset val="134"/>
      </rPr>
      <t>、</t>
    </r>
    <r>
      <rPr>
        <sz val="9"/>
        <rFont val="Arial"/>
        <charset val="1"/>
      </rPr>
      <t>10cm</t>
    </r>
    <r>
      <rPr>
        <sz val="9"/>
        <rFont val="Noto Sans CJK SC"/>
        <charset val="134"/>
      </rPr>
      <t>、</t>
    </r>
    <r>
      <rPr>
        <sz val="9"/>
        <rFont val="Arial"/>
        <charset val="1"/>
      </rPr>
      <t>15cm</t>
    </r>
    <r>
      <rPr>
        <sz val="9"/>
        <rFont val="Noto Sans CJK SC"/>
        <charset val="134"/>
      </rPr>
      <t>肠粘膜</t>
    </r>
    <r>
      <rPr>
        <sz val="9"/>
        <rFont val="Arial"/>
        <charset val="1"/>
      </rPr>
      <t>2</t>
    </r>
    <r>
      <rPr>
        <sz val="9"/>
        <rFont val="Noto Sans CJK SC"/>
        <charset val="134"/>
      </rPr>
      <t>处，送病理活检。缓慢退出肠镜。避免损伤肠道。术中出血</t>
    </r>
    <r>
      <rPr>
        <sz val="9"/>
        <rFont val="Arial"/>
        <charset val="1"/>
      </rPr>
      <t>1ml</t>
    </r>
    <r>
      <rPr>
        <sz val="9"/>
        <rFont val="Noto Sans CJK SC"/>
        <charset val="134"/>
      </rPr>
      <t>，尿量</t>
    </r>
    <r>
      <rPr>
        <sz val="9"/>
        <rFont val="Arial"/>
        <charset val="1"/>
      </rPr>
      <t>50ml</t>
    </r>
    <r>
      <rPr>
        <sz val="9"/>
        <rFont val="Noto Sans CJK SC"/>
        <charset val="134"/>
      </rPr>
      <t xml:space="preserve">。
</t>
    </r>
    <r>
      <rPr>
        <sz val="9"/>
        <rFont val="Arial"/>
        <charset val="1"/>
      </rPr>
      <t xml:space="preserve">2. </t>
    </r>
    <r>
      <rPr>
        <sz val="9"/>
        <rFont val="Noto Sans CJK SC"/>
        <charset val="134"/>
      </rPr>
      <t>术毕，患儿安返病房。</t>
    </r>
  </si>
  <si>
    <r>
      <rPr>
        <sz val="9"/>
        <rFont val="Noto Sans CJK SC"/>
        <charset val="134"/>
      </rPr>
      <t>【锚定】</t>
    </r>
    <r>
      <rPr>
        <sz val="9"/>
        <rFont val="Arial"/>
        <charset val="1"/>
      </rPr>
      <t>2018-06-22</t>
    </r>
    <r>
      <rPr>
        <sz val="9"/>
        <rFont val="Noto Sans CJK SC"/>
        <charset val="134"/>
      </rPr>
      <t>｜便秘、中肠肠旋转不良？｜结肠镜下大肠活组织检查</t>
    </r>
  </si>
  <si>
    <t>2018-07-29</t>
  </si>
  <si>
    <t>先天性十二指肠闭锁，十二指肠前门静脉，粘连性肠梗阻，肠旋转不良</t>
  </si>
  <si>
    <r>
      <rPr>
        <sz val="9"/>
        <rFont val="Noto Sans CJK SC"/>
        <charset val="134"/>
      </rPr>
      <t>小肠病损切除术</t>
    </r>
    <r>
      <rPr>
        <sz val="9"/>
        <rFont val="Arial"/>
        <charset val="1"/>
      </rPr>
      <t>,</t>
    </r>
    <r>
      <rPr>
        <sz val="9"/>
        <rFont val="Noto Sans CJK SC"/>
        <charset val="134"/>
      </rPr>
      <t>胃</t>
    </r>
    <r>
      <rPr>
        <sz val="9"/>
        <rFont val="Arial"/>
        <charset val="1"/>
      </rPr>
      <t>-</t>
    </r>
    <r>
      <rPr>
        <sz val="9"/>
        <rFont val="Noto Sans CJK SC"/>
        <charset val="134"/>
      </rPr>
      <t>十二指肠吻合术</t>
    </r>
    <r>
      <rPr>
        <sz val="9"/>
        <rFont val="Arial"/>
        <charset val="1"/>
      </rPr>
      <t>,</t>
    </r>
    <r>
      <rPr>
        <sz val="9"/>
        <rFont val="Noto Sans CJK SC"/>
        <charset val="134"/>
      </rPr>
      <t>十二指肠空肠吻合术</t>
    </r>
    <r>
      <rPr>
        <sz val="9"/>
        <rFont val="Arial"/>
        <charset val="1"/>
      </rPr>
      <t>,</t>
    </r>
    <r>
      <rPr>
        <sz val="9"/>
        <rFont val="Noto Sans CJK SC"/>
        <charset val="134"/>
      </rPr>
      <t>肠粘连松解术</t>
    </r>
    <r>
      <rPr>
        <sz val="9"/>
        <rFont val="Arial"/>
        <charset val="1"/>
      </rPr>
      <t>,</t>
    </r>
    <r>
      <rPr>
        <sz val="9"/>
        <rFont val="Noto Sans CJK SC"/>
        <charset val="134"/>
      </rPr>
      <t>小肠切开减压术</t>
    </r>
    <r>
      <rPr>
        <sz val="9"/>
        <rFont val="Arial"/>
        <charset val="1"/>
      </rPr>
      <t>,</t>
    </r>
    <r>
      <rPr>
        <sz val="9"/>
        <rFont val="Noto Sans CJK SC"/>
        <charset val="134"/>
      </rPr>
      <t>阑尾切除术</t>
    </r>
    <r>
      <rPr>
        <sz val="9"/>
        <rFont val="Arial"/>
        <charset val="1"/>
      </rPr>
      <t>,</t>
    </r>
    <r>
      <rPr>
        <sz val="9"/>
        <rFont val="Noto Sans CJK SC"/>
        <charset val="134"/>
      </rPr>
      <t>腹腔冲洗检查</t>
    </r>
    <r>
      <rPr>
        <sz val="9"/>
        <rFont val="Arial"/>
        <charset val="1"/>
      </rPr>
      <t>,</t>
    </r>
    <r>
      <rPr>
        <sz val="9"/>
        <rFont val="Noto Sans CJK SC"/>
        <charset val="134"/>
      </rPr>
      <t>腹腔穿刺引流术</t>
    </r>
  </si>
  <si>
    <r>
      <rPr>
        <sz val="9"/>
        <rFont val="Arial"/>
        <charset val="1"/>
      </rPr>
      <t>1.</t>
    </r>
    <r>
      <rPr>
        <sz val="9"/>
        <rFont val="Noto Sans CJK SC"/>
        <charset val="134"/>
      </rPr>
      <t xml:space="preserve">取仰卧位，麻醉满意后，患儿尿道口狭窄，导尿管不能置入，常规消毒铺巾。
</t>
    </r>
    <r>
      <rPr>
        <sz val="9"/>
        <rFont val="Arial"/>
        <charset val="1"/>
      </rPr>
      <t>2.</t>
    </r>
    <r>
      <rPr>
        <sz val="9"/>
        <rFont val="Noto Sans CJK SC"/>
        <charset val="134"/>
      </rPr>
      <t>取右中上腹横行探查切口约</t>
    </r>
    <r>
      <rPr>
        <sz val="9"/>
        <rFont val="Arial"/>
        <charset val="1"/>
      </rPr>
      <t>4cm</t>
    </r>
    <r>
      <rPr>
        <sz val="9"/>
        <rFont val="Noto Sans CJK SC"/>
        <charset val="134"/>
      </rPr>
      <t>，分离皮下组织及肌层，打开腹膜进入腹腔，探查见回盲部位于左侧腹，中肠旋转，肠管粘连成团，予以松解粘连及</t>
    </r>
    <r>
      <rPr>
        <sz val="9"/>
        <rFont val="Arial"/>
        <charset val="1"/>
      </rPr>
      <t>Ladd's</t>
    </r>
    <r>
      <rPr>
        <sz val="9"/>
        <rFont val="Noto Sans CJK SC"/>
        <charset val="134"/>
      </rPr>
      <t>板，逆时针复位肠管后，见十二指肠水平段闭锁，近端肠管扩张，直径约</t>
    </r>
    <r>
      <rPr>
        <sz val="9"/>
        <rFont val="Arial"/>
        <charset val="1"/>
      </rPr>
      <t>3cm</t>
    </r>
    <r>
      <rPr>
        <sz val="9"/>
        <rFont val="Noto Sans CJK SC"/>
        <charset val="134"/>
      </rPr>
      <t>，于幽门及十二指肠起始部，可见门静脉经肠管前方通过，并部分压迫十二指肠，补充诊断十二指肠前门静脉，闭锁远端空回肠及结肠全段均细小，直径约</t>
    </r>
    <r>
      <rPr>
        <sz val="9"/>
        <rFont val="Arial"/>
        <charset val="1"/>
      </rPr>
      <t>0.7cm</t>
    </r>
    <r>
      <rPr>
        <sz val="9"/>
        <rFont val="Noto Sans CJK SC"/>
        <charset val="134"/>
      </rPr>
      <t>，其内可见灰白色粪石，经患儿家长进手术室了解病情后，予以切除远端部分空肠减压，并注水检查远端肠管通过良好，未见多发闭锁，切除近端十二指肠约</t>
    </r>
    <r>
      <rPr>
        <sz val="9"/>
        <rFont val="Arial"/>
        <charset val="1"/>
      </rPr>
      <t>10cm</t>
    </r>
    <r>
      <rPr>
        <sz val="9"/>
        <rFont val="Noto Sans CJK SC"/>
        <charset val="134"/>
      </rPr>
      <t>，行十二指肠</t>
    </r>
    <r>
      <rPr>
        <sz val="9"/>
        <rFont val="Arial"/>
        <charset val="1"/>
      </rPr>
      <t>-</t>
    </r>
    <r>
      <rPr>
        <sz val="9"/>
        <rFont val="Noto Sans CJK SC"/>
        <charset val="134"/>
      </rPr>
      <t>空肠端背吻合，修补肠系膜缺损，于门静脉骑跨处近远端，行胃</t>
    </r>
    <r>
      <rPr>
        <sz val="9"/>
        <rFont val="Arial"/>
        <charset val="1"/>
      </rPr>
      <t>-</t>
    </r>
    <r>
      <rPr>
        <sz val="9"/>
        <rFont val="Noto Sans CJK SC"/>
        <charset val="134"/>
      </rPr>
      <t>十二指肠菱形吻合短路术，检查两处吻合口通过良好，无漏气漏液，血运良好，外覆悦灵胶预防吻合口瘘，止血纱布止血，还纳肠管入腹腔，见回盲部位于左侧腹，遂切除阑尾送病检，荷包缝合包埋阑尾残端，检查手术野无活动性出血，于右下腹留置橡皮引流管一根至直肠膀胱陷凹并固定，术泰舒冲洗腹腔，按摩膀胱排出尿液后，留置海洛特一支于腹腔预防肠粘连，吸收线逐层缝合腹膜、肌层及皮下组织，皮内缝合伤口，组织胶粘合皮肤，无菌纱布包扎伤口。</t>
    </r>
    <r>
      <rPr>
        <sz val="9"/>
        <rFont val="Arial"/>
        <charset val="1"/>
      </rPr>
      <t>3.</t>
    </r>
    <r>
      <rPr>
        <sz val="9"/>
        <rFont val="Noto Sans CJK SC"/>
        <charset val="134"/>
      </rPr>
      <t>术中出血约</t>
    </r>
    <r>
      <rPr>
        <sz val="9"/>
        <rFont val="Arial"/>
        <charset val="1"/>
      </rPr>
      <t>1ml</t>
    </r>
    <r>
      <rPr>
        <sz val="9"/>
        <rFont val="Noto Sans CJK SC"/>
        <charset val="134"/>
      </rPr>
      <t>，未输血，患儿安返病房。</t>
    </r>
  </si>
  <si>
    <r>
      <rPr>
        <sz val="9"/>
        <rFont val="Noto Sans CJK SC"/>
        <charset val="134"/>
      </rPr>
      <t>【锚定】</t>
    </r>
    <r>
      <rPr>
        <sz val="9"/>
        <rFont val="Arial"/>
        <charset val="1"/>
      </rPr>
      <t>2018-07-29</t>
    </r>
    <r>
      <rPr>
        <sz val="9"/>
        <rFont val="Noto Sans CJK SC"/>
        <charset val="134"/>
      </rPr>
      <t>｜先天性十二指肠闭锁，十二指肠前门静脉，粘连性肠梗阻，肠旋转不良｜小肠病损切除术</t>
    </r>
    <r>
      <rPr>
        <sz val="9"/>
        <rFont val="Arial"/>
        <charset val="1"/>
      </rPr>
      <t>,</t>
    </r>
    <r>
      <rPr>
        <sz val="9"/>
        <rFont val="Noto Sans CJK SC"/>
        <charset val="134"/>
      </rPr>
      <t>胃</t>
    </r>
    <r>
      <rPr>
        <sz val="9"/>
        <rFont val="Arial"/>
        <charset val="1"/>
      </rPr>
      <t>-</t>
    </r>
    <r>
      <rPr>
        <sz val="9"/>
        <rFont val="Noto Sans CJK SC"/>
        <charset val="134"/>
      </rPr>
      <t>十二指肠吻合术</t>
    </r>
    <r>
      <rPr>
        <sz val="9"/>
        <rFont val="Arial"/>
        <charset val="1"/>
      </rPr>
      <t>,</t>
    </r>
    <r>
      <rPr>
        <sz val="9"/>
        <rFont val="Noto Sans CJK SC"/>
        <charset val="134"/>
      </rPr>
      <t>十二指肠空肠吻合术</t>
    </r>
    <r>
      <rPr>
        <sz val="9"/>
        <rFont val="Arial"/>
        <charset val="1"/>
      </rPr>
      <t>,</t>
    </r>
    <r>
      <rPr>
        <sz val="9"/>
        <rFont val="Noto Sans CJK SC"/>
        <charset val="134"/>
      </rPr>
      <t>肠粘连松解术</t>
    </r>
    <r>
      <rPr>
        <sz val="9"/>
        <rFont val="Arial"/>
        <charset val="1"/>
      </rPr>
      <t>,</t>
    </r>
    <r>
      <rPr>
        <sz val="9"/>
        <rFont val="Noto Sans CJK SC"/>
        <charset val="134"/>
      </rPr>
      <t>小肠切开减压术</t>
    </r>
    <r>
      <rPr>
        <sz val="9"/>
        <rFont val="Arial"/>
        <charset val="1"/>
      </rPr>
      <t>,</t>
    </r>
    <r>
      <rPr>
        <sz val="9"/>
        <rFont val="Noto Sans CJK SC"/>
        <charset val="134"/>
      </rPr>
      <t>阑尾切除术</t>
    </r>
    <r>
      <rPr>
        <sz val="9"/>
        <rFont val="Arial"/>
        <charset val="1"/>
      </rPr>
      <t>,</t>
    </r>
    <r>
      <rPr>
        <sz val="9"/>
        <rFont val="Noto Sans CJK SC"/>
        <charset val="134"/>
      </rPr>
      <t>腹</t>
    </r>
  </si>
  <si>
    <t>2015-11-10</t>
  </si>
  <si>
    <t>先天性肠旋转不良并扭转坏死，急性弥漫性腹膜炎，脓毒血症，失血性休克</t>
  </si>
  <si>
    <t>剖腹探查术</t>
  </si>
  <si>
    <r>
      <rPr>
        <sz val="9"/>
        <rFont val="Arial"/>
        <charset val="1"/>
      </rPr>
      <t>1</t>
    </r>
    <r>
      <rPr>
        <sz val="9"/>
        <rFont val="Noto Sans CJK SC"/>
        <charset val="134"/>
      </rPr>
      <t>、取平卧位，于上述麻醉下，常规消毒皮肤，留置尿管，铺无菌巾，取右上腹横切口长约</t>
    </r>
    <r>
      <rPr>
        <sz val="9"/>
        <rFont val="Arial"/>
        <charset val="1"/>
      </rPr>
      <t>6cm</t>
    </r>
    <r>
      <rPr>
        <sz val="9"/>
        <rFont val="Noto Sans CJK SC"/>
        <charset val="134"/>
      </rPr>
      <t xml:space="preserve">，电凝止血，逐层进入腹腔。
</t>
    </r>
    <r>
      <rPr>
        <sz val="9"/>
        <rFont val="Arial"/>
        <charset val="1"/>
      </rPr>
      <t>2</t>
    </r>
    <r>
      <rPr>
        <sz val="9"/>
        <rFont val="Noto Sans CJK SC"/>
        <charset val="134"/>
      </rPr>
      <t>、探查腹腔，抽吸出见约</t>
    </r>
    <r>
      <rPr>
        <sz val="9"/>
        <rFont val="Arial"/>
        <charset val="1"/>
      </rPr>
      <t>150ml</t>
    </r>
    <r>
      <rPr>
        <sz val="9"/>
        <rFont val="Noto Sans CJK SC"/>
        <charset val="134"/>
      </rPr>
      <t>血性渗液，全部小肠发黑坏死，部分肠管有粘连，肠壁薄弱扩张明显，肠腔内压力高，全腹小肠扩张明显，肠系膜根部有扭转。托出小肠至切口外探查，见回盲部位于左上腹，阑尾亦坏死，小肠顺时针扭转</t>
    </r>
    <r>
      <rPr>
        <sz val="9"/>
        <rFont val="Arial"/>
        <charset val="1"/>
      </rPr>
      <t>720</t>
    </r>
    <r>
      <rPr>
        <sz val="9"/>
        <rFont val="Noto Sans CJK SC"/>
        <charset val="134"/>
      </rPr>
      <t>度，逆时针复位后，松解肠管之间炎性粘连，见整个结肠行走在上腹部，小肠长约</t>
    </r>
    <r>
      <rPr>
        <sz val="9"/>
        <rFont val="Arial"/>
        <charset val="1"/>
      </rPr>
      <t>120cm</t>
    </r>
    <r>
      <rPr>
        <sz val="9"/>
        <rFont val="Noto Sans CJK SC"/>
        <charset val="134"/>
      </rPr>
      <t xml:space="preserve">，肠系膜根部发黑坏死。探查结肠见结肠炎性水肿，部分结肠浆肌层有发黑破损，未见结肠破裂。予以肠系膜根部普鲁卡因局部封闭，温盐水纱布湿敷半小时后小肠血运无改善，肠壁发黑无生机，未见肠管蠕动。
</t>
    </r>
    <r>
      <rPr>
        <sz val="9"/>
        <rFont val="Arial"/>
        <charset val="1"/>
      </rPr>
      <t>3</t>
    </r>
    <r>
      <rPr>
        <sz val="9"/>
        <rFont val="Noto Sans CJK SC"/>
        <charset val="134"/>
      </rPr>
      <t xml:space="preserve">、术中请患儿家属到手术室了解患儿肠管坏死情况，家长要求放弃继续手术治疗，一切后果自负，故复位扭转肠管并减压，依次还入肠管回中腹；清点器械后关腹。
</t>
    </r>
    <r>
      <rPr>
        <sz val="9"/>
        <rFont val="Arial"/>
        <charset val="1"/>
      </rPr>
      <t>4</t>
    </r>
    <r>
      <rPr>
        <sz val="9"/>
        <rFont val="Noto Sans CJK SC"/>
        <charset val="134"/>
      </rPr>
      <t>、术中出血约</t>
    </r>
    <r>
      <rPr>
        <sz val="9"/>
        <rFont val="Arial"/>
        <charset val="1"/>
      </rPr>
      <t>10</t>
    </r>
    <r>
      <rPr>
        <sz val="9"/>
        <rFont val="Noto Sans CJK SC"/>
        <charset val="134"/>
      </rPr>
      <t>毫升，输</t>
    </r>
    <r>
      <rPr>
        <sz val="9"/>
        <rFont val="Arial"/>
        <charset val="1"/>
      </rPr>
      <t>B</t>
    </r>
    <r>
      <rPr>
        <sz val="9"/>
        <rFont val="Noto Sans CJK SC"/>
        <charset val="134"/>
      </rPr>
      <t>型</t>
    </r>
    <r>
      <rPr>
        <sz val="9"/>
        <rFont val="Arial"/>
        <charset val="1"/>
      </rPr>
      <t>Rh</t>
    </r>
    <r>
      <rPr>
        <sz val="9"/>
        <rFont val="Noto Sans CJK SC"/>
        <charset val="134"/>
      </rPr>
      <t>（</t>
    </r>
    <r>
      <rPr>
        <sz val="9"/>
        <rFont val="Arial"/>
        <charset val="1"/>
      </rPr>
      <t>+</t>
    </r>
    <r>
      <rPr>
        <sz val="9"/>
        <rFont val="Noto Sans CJK SC"/>
        <charset val="134"/>
      </rPr>
      <t>）悬浮红细胞</t>
    </r>
    <r>
      <rPr>
        <sz val="9"/>
        <rFont val="Arial"/>
        <charset val="1"/>
      </rPr>
      <t>1U</t>
    </r>
    <r>
      <rPr>
        <sz val="9"/>
        <rFont val="Noto Sans CJK SC"/>
        <charset val="134"/>
      </rPr>
      <t>（编号：</t>
    </r>
    <r>
      <rPr>
        <sz val="9"/>
        <rFont val="Arial"/>
        <charset val="1"/>
      </rPr>
      <t>9000115152975</t>
    </r>
    <r>
      <rPr>
        <sz val="9"/>
        <rFont val="Noto Sans CJK SC"/>
        <charset val="134"/>
      </rPr>
      <t>），顺利拔除气管插管后返病房</t>
    </r>
    <r>
      <rPr>
        <sz val="9"/>
        <rFont val="Arial"/>
        <charset val="1"/>
      </rPr>
      <t>.</t>
    </r>
  </si>
  <si>
    <r>
      <rPr>
        <sz val="9"/>
        <rFont val="Noto Sans CJK SC"/>
        <charset val="134"/>
      </rPr>
      <t>【锚定】</t>
    </r>
    <r>
      <rPr>
        <sz val="9"/>
        <rFont val="Arial"/>
        <charset val="1"/>
      </rPr>
      <t>2015-11-10</t>
    </r>
    <r>
      <rPr>
        <sz val="9"/>
        <rFont val="Noto Sans CJK SC"/>
        <charset val="134"/>
      </rPr>
      <t>｜先天性肠旋转不良并扭转坏死，急性弥漫性腹膜炎，脓毒血症，失血性休克｜剖腹探查术</t>
    </r>
  </si>
  <si>
    <r>
      <rPr>
        <sz val="9"/>
        <rFont val="Noto Sans CJK SC"/>
        <charset val="134"/>
      </rPr>
      <t>诊断写</t>
    </r>
    <r>
      <rPr>
        <sz val="9"/>
        <rFont val="Arial"/>
        <charset val="1"/>
      </rPr>
      <t>"</t>
    </r>
    <r>
      <rPr>
        <sz val="9"/>
        <rFont val="Noto Sans CJK SC"/>
        <charset val="134"/>
      </rPr>
      <t>肠旋转不良术后</t>
    </r>
    <r>
      <rPr>
        <sz val="9"/>
        <rFont val="Arial"/>
        <charset val="1"/>
      </rPr>
      <t>"</t>
    </r>
    <r>
      <rPr>
        <sz val="9"/>
        <rFont val="Noto Sans CJK SC"/>
        <charset val="134"/>
      </rPr>
      <t>（既往已手术），本次手术不是旋转不良手术</t>
    </r>
  </si>
  <si>
    <t>2018-03-08</t>
  </si>
  <si>
    <t>绞窄性肠坏死，先天性肠旋转不良术后</t>
  </si>
  <si>
    <r>
      <rPr>
        <sz val="9"/>
        <rFont val="Noto Sans CJK SC"/>
        <charset val="134"/>
      </rPr>
      <t>开腹探查术</t>
    </r>
    <r>
      <rPr>
        <sz val="9"/>
        <rFont val="Arial"/>
        <charset val="1"/>
      </rPr>
      <t>,</t>
    </r>
    <r>
      <rPr>
        <sz val="9"/>
        <rFont val="Noto Sans CJK SC"/>
        <charset val="134"/>
      </rPr>
      <t>肠粘连松解术</t>
    </r>
    <r>
      <rPr>
        <sz val="9"/>
        <rFont val="Arial"/>
        <charset val="1"/>
      </rPr>
      <t>,</t>
    </r>
    <r>
      <rPr>
        <sz val="9"/>
        <rFont val="Noto Sans CJK SC"/>
        <charset val="134"/>
      </rPr>
      <t>小肠病损切除术</t>
    </r>
    <r>
      <rPr>
        <sz val="9"/>
        <rFont val="Arial"/>
        <charset val="1"/>
      </rPr>
      <t>,</t>
    </r>
    <r>
      <rPr>
        <sz val="9"/>
        <rFont val="Noto Sans CJK SC"/>
        <charset val="134"/>
      </rPr>
      <t>肠吻合术</t>
    </r>
    <r>
      <rPr>
        <sz val="9"/>
        <rFont val="Arial"/>
        <charset val="1"/>
      </rPr>
      <t>,</t>
    </r>
    <r>
      <rPr>
        <sz val="9"/>
        <rFont val="Noto Sans CJK SC"/>
        <charset val="134"/>
      </rPr>
      <t>小肠切开减压术</t>
    </r>
    <r>
      <rPr>
        <sz val="9"/>
        <rFont val="Arial"/>
        <charset val="1"/>
      </rPr>
      <t>,</t>
    </r>
    <r>
      <rPr>
        <sz val="9"/>
        <rFont val="Noto Sans CJK SC"/>
        <charset val="134"/>
      </rPr>
      <t>腹腔穿刺引流术</t>
    </r>
  </si>
  <si>
    <r>
      <rPr>
        <sz val="9"/>
        <rFont val="Arial"/>
        <charset val="1"/>
      </rPr>
      <t>1.</t>
    </r>
    <r>
      <rPr>
        <sz val="9"/>
        <rFont val="Noto Sans CJK SC"/>
        <charset val="134"/>
      </rPr>
      <t xml:space="preserve">麻醉满意后，患儿取仰卧位，常规消毒铺巾
</t>
    </r>
    <r>
      <rPr>
        <sz val="9"/>
        <rFont val="Arial"/>
        <charset val="1"/>
      </rPr>
      <t>2.</t>
    </r>
    <r>
      <rPr>
        <sz val="9"/>
        <rFont val="Noto Sans CJK SC"/>
        <charset val="134"/>
      </rPr>
      <t>经右侧腹部横切口</t>
    </r>
    <r>
      <rPr>
        <sz val="9"/>
        <rFont val="Arial"/>
        <charset val="1"/>
      </rPr>
      <t>5</t>
    </r>
    <r>
      <rPr>
        <sz val="9"/>
        <rFont val="Noto Sans CJK SC"/>
        <charset val="134"/>
      </rPr>
      <t>厘米，依次切开入腹，探查腹腔：腹腔内肠管广泛粘连，尤以左上腹回盲部处及肠系膜根部与近端小肠粘连严重，有血性腹水</t>
    </r>
    <r>
      <rPr>
        <sz val="9"/>
        <rFont val="Arial"/>
        <charset val="1"/>
      </rPr>
      <t>20ML,</t>
    </r>
    <r>
      <rPr>
        <sz val="9"/>
        <rFont val="Noto Sans CJK SC"/>
        <charset val="134"/>
      </rPr>
      <t>松解肠管粘连后见空肠起始段位于左侧腹，距小肠起始处约</t>
    </r>
    <r>
      <rPr>
        <sz val="9"/>
        <rFont val="Arial"/>
        <charset val="1"/>
      </rPr>
      <t>50</t>
    </r>
    <r>
      <rPr>
        <sz val="9"/>
        <rFont val="Noto Sans CJK SC"/>
        <charset val="134"/>
      </rPr>
      <t>厘米远的小肠出现索带绞炸压迫，长约</t>
    </r>
    <r>
      <rPr>
        <sz val="9"/>
        <rFont val="Arial"/>
        <charset val="1"/>
      </rPr>
      <t>20</t>
    </r>
    <r>
      <rPr>
        <sz val="9"/>
        <rFont val="Noto Sans CJK SC"/>
        <charset val="134"/>
      </rPr>
      <t xml:space="preserve">厘米小肠出现绞窄性坏死，肠壁未穿孔，压迹明显。松解索带后减压肠管，远端小肠和结肠通畅。
</t>
    </r>
    <r>
      <rPr>
        <sz val="9"/>
        <rFont val="Arial"/>
        <charset val="1"/>
      </rPr>
      <t>3.</t>
    </r>
    <r>
      <rPr>
        <sz val="9"/>
        <rFont val="Noto Sans CJK SC"/>
        <charset val="134"/>
      </rPr>
      <t>结扎坏死肠段肠系膜后，切除坏死肠管</t>
    </r>
    <r>
      <rPr>
        <sz val="9"/>
        <rFont val="Arial"/>
        <charset val="1"/>
      </rPr>
      <t>20</t>
    </r>
    <r>
      <rPr>
        <sz val="9"/>
        <rFont val="Noto Sans CJK SC"/>
        <charset val="134"/>
      </rPr>
      <t xml:space="preserve">厘米，行小肠端端吻合，修补肠系膜裂孔，检查吻合口通畅，无渗漏及狭窄。
</t>
    </r>
    <r>
      <rPr>
        <sz val="9"/>
        <rFont val="Arial"/>
        <charset val="1"/>
      </rPr>
      <t>4.</t>
    </r>
    <r>
      <rPr>
        <sz val="9"/>
        <rFont val="Noto Sans CJK SC"/>
        <charset val="134"/>
      </rPr>
      <t xml:space="preserve">温盐水冲洗腹腔，于陶氏腔置引流管一根，固定于体表。
</t>
    </r>
    <r>
      <rPr>
        <sz val="9"/>
        <rFont val="Arial"/>
        <charset val="1"/>
      </rPr>
      <t>5.</t>
    </r>
    <r>
      <rPr>
        <sz val="9"/>
        <rFont val="Noto Sans CJK SC"/>
        <charset val="134"/>
      </rPr>
      <t>腹腔留置透明质酸钠</t>
    </r>
    <r>
      <rPr>
        <sz val="9"/>
        <rFont val="Arial"/>
        <charset val="1"/>
      </rPr>
      <t>2.5ml</t>
    </r>
    <r>
      <rPr>
        <sz val="9"/>
        <rFont val="Noto Sans CJK SC"/>
        <charset val="134"/>
      </rPr>
      <t>于腹腔，流体止血膜</t>
    </r>
    <r>
      <rPr>
        <sz val="9"/>
        <rFont val="Arial"/>
        <charset val="1"/>
      </rPr>
      <t>50</t>
    </r>
    <r>
      <rPr>
        <sz val="9"/>
        <rFont val="Noto Sans CJK SC"/>
        <charset val="134"/>
      </rPr>
      <t>毫升冲洗腹腔，预防肠粘连。逐层缝合腹壁切口，组织胶粘合保护伤口，局部包扎。术中出血</t>
    </r>
    <r>
      <rPr>
        <sz val="9"/>
        <rFont val="Arial"/>
        <charset val="1"/>
      </rPr>
      <t>5</t>
    </r>
    <r>
      <rPr>
        <sz val="9"/>
        <rFont val="Noto Sans CJK SC"/>
        <charset val="134"/>
      </rPr>
      <t>毫升，未输血</t>
    </r>
    <r>
      <rPr>
        <sz val="9"/>
        <rFont val="Arial"/>
        <charset val="1"/>
      </rPr>
      <t>.</t>
    </r>
    <r>
      <rPr>
        <sz val="9"/>
        <rFont val="Noto Sans CJK SC"/>
        <charset val="134"/>
      </rPr>
      <t>术后安返病房。</t>
    </r>
  </si>
  <si>
    <r>
      <rPr>
        <sz val="9"/>
        <rFont val="Noto Sans CJK SC"/>
        <charset val="134"/>
      </rPr>
      <t>【锚定】</t>
    </r>
    <r>
      <rPr>
        <sz val="9"/>
        <rFont val="Arial"/>
        <charset val="1"/>
      </rPr>
      <t>2018-03-08</t>
    </r>
    <r>
      <rPr>
        <sz val="9"/>
        <rFont val="Noto Sans CJK SC"/>
        <charset val="134"/>
      </rPr>
      <t>｜绞窄性肠坏死，先天性肠旋转不良术后｜开腹探查术</t>
    </r>
    <r>
      <rPr>
        <sz val="9"/>
        <rFont val="Arial"/>
        <charset val="1"/>
      </rPr>
      <t>,</t>
    </r>
    <r>
      <rPr>
        <sz val="9"/>
        <rFont val="Noto Sans CJK SC"/>
        <charset val="134"/>
      </rPr>
      <t>肠粘连松解术</t>
    </r>
    <r>
      <rPr>
        <sz val="9"/>
        <rFont val="Arial"/>
        <charset val="1"/>
      </rPr>
      <t>,</t>
    </r>
    <r>
      <rPr>
        <sz val="9"/>
        <rFont val="Noto Sans CJK SC"/>
        <charset val="134"/>
      </rPr>
      <t>小肠病损切除术</t>
    </r>
    <r>
      <rPr>
        <sz val="9"/>
        <rFont val="Arial"/>
        <charset val="1"/>
      </rPr>
      <t>,</t>
    </r>
    <r>
      <rPr>
        <sz val="9"/>
        <rFont val="Noto Sans CJK SC"/>
        <charset val="134"/>
      </rPr>
      <t>肠吻合术</t>
    </r>
    <r>
      <rPr>
        <sz val="9"/>
        <rFont val="Arial"/>
        <charset val="1"/>
      </rPr>
      <t>,</t>
    </r>
    <r>
      <rPr>
        <sz val="9"/>
        <rFont val="Noto Sans CJK SC"/>
        <charset val="134"/>
      </rPr>
      <t>小肠切开减压术</t>
    </r>
    <r>
      <rPr>
        <sz val="9"/>
        <rFont val="Arial"/>
        <charset val="1"/>
      </rPr>
      <t>,</t>
    </r>
    <r>
      <rPr>
        <sz val="9"/>
        <rFont val="Noto Sans CJK SC"/>
        <charset val="134"/>
      </rPr>
      <t>腹腔穿刺引流术</t>
    </r>
  </si>
  <si>
    <t>复发再次手术（单独讨论）</t>
  </si>
  <si>
    <t>2017-12-26</t>
  </si>
  <si>
    <t>多发性肠闭锁，巨十二指肠，肠旋转不良，肠系膜发育异常</t>
  </si>
  <si>
    <r>
      <rPr>
        <sz val="9"/>
        <rFont val="Noto Sans CJK SC"/>
        <charset val="134"/>
      </rPr>
      <t>小肠病损切除术</t>
    </r>
    <r>
      <rPr>
        <sz val="9"/>
        <rFont val="Arial"/>
        <charset val="1"/>
      </rPr>
      <t>,</t>
    </r>
    <r>
      <rPr>
        <sz val="9"/>
        <rFont val="Noto Sans CJK SC"/>
        <charset val="134"/>
      </rPr>
      <t>小肠吻合修正术</t>
    </r>
    <r>
      <rPr>
        <sz val="9"/>
        <rFont val="Arial"/>
        <charset val="1"/>
      </rPr>
      <t>,</t>
    </r>
    <r>
      <rPr>
        <sz val="9"/>
        <rFont val="Noto Sans CJK SC"/>
        <charset val="134"/>
      </rPr>
      <t>肠系膜修补术</t>
    </r>
    <r>
      <rPr>
        <sz val="9"/>
        <rFont val="Arial"/>
        <charset val="1"/>
      </rPr>
      <t>,</t>
    </r>
    <r>
      <rPr>
        <sz val="9"/>
        <rFont val="Noto Sans CJK SC"/>
        <charset val="134"/>
      </rPr>
      <t>小肠切开减压术</t>
    </r>
    <r>
      <rPr>
        <sz val="9"/>
        <rFont val="Arial"/>
        <charset val="1"/>
      </rPr>
      <t>,</t>
    </r>
    <r>
      <rPr>
        <sz val="9"/>
        <rFont val="Noto Sans CJK SC"/>
        <charset val="134"/>
      </rPr>
      <t>小肠局部灌注经皮腹腔穿刺引流术</t>
    </r>
    <r>
      <rPr>
        <sz val="9"/>
        <rFont val="Arial"/>
        <charset val="1"/>
      </rPr>
      <t>,</t>
    </r>
    <r>
      <rPr>
        <sz val="9"/>
        <rFont val="Noto Sans CJK SC"/>
        <charset val="134"/>
      </rPr>
      <t>肠粘连松解术</t>
    </r>
    <r>
      <rPr>
        <sz val="9"/>
        <rFont val="Arial"/>
        <charset val="1"/>
      </rPr>
      <t>,</t>
    </r>
    <r>
      <rPr>
        <sz val="9"/>
        <rFont val="Noto Sans CJK SC"/>
        <charset val="134"/>
      </rPr>
      <t>阑尾切除术</t>
    </r>
  </si>
  <si>
    <r>
      <rPr>
        <sz val="9"/>
        <rFont val="Arial"/>
        <charset val="1"/>
      </rPr>
      <t>1</t>
    </r>
    <r>
      <rPr>
        <sz val="9"/>
        <rFont val="Noto Sans CJK SC"/>
        <charset val="134"/>
      </rPr>
      <t>．麻醉满意后，患儿取仰卧位，常规消毒铺巾。</t>
    </r>
    <r>
      <rPr>
        <sz val="9"/>
        <rFont val="Arial"/>
        <charset val="1"/>
      </rPr>
      <t>2</t>
    </r>
    <r>
      <rPr>
        <sz val="9"/>
        <rFont val="Noto Sans CJK SC"/>
        <charset val="134"/>
      </rPr>
      <t>．自右侧探查切口，长约</t>
    </r>
    <r>
      <rPr>
        <sz val="9"/>
        <rFont val="Arial"/>
        <charset val="1"/>
      </rPr>
      <t>4cm</t>
    </r>
    <r>
      <rPr>
        <sz val="9"/>
        <rFont val="Noto Sans CJK SC"/>
        <charset val="134"/>
      </rPr>
      <t>，依次切开入腹，探查腹腔：见回盲部位于中腹部，近端空肠仅</t>
    </r>
    <r>
      <rPr>
        <sz val="9"/>
        <rFont val="Arial"/>
        <charset val="1"/>
      </rPr>
      <t>2cm</t>
    </r>
    <r>
      <rPr>
        <sz val="9"/>
        <rFont val="Noto Sans CJK SC"/>
        <charset val="134"/>
      </rPr>
      <t>扩张明显并肥厚，远端小肠</t>
    </r>
    <r>
      <rPr>
        <sz val="9"/>
        <rFont val="Arial"/>
        <charset val="1"/>
      </rPr>
      <t>2</t>
    </r>
    <r>
      <rPr>
        <sz val="9"/>
        <rFont val="Noto Sans CJK SC"/>
        <charset val="134"/>
      </rPr>
      <t>处多发闭锁，肠系膜缺如，远端闭锁肠管有一单血管供应血供，并有扭转，术中请家长进手术室了解病情告知家长肠系膜血管发育异常似苹果皮样，近端肠管顺应性差，术后可能愈合不良，家属要求手术治疗，术中切除中间闭锁肠管约</t>
    </r>
    <r>
      <rPr>
        <sz val="9"/>
        <rFont val="Arial"/>
        <charset val="1"/>
      </rPr>
      <t>8cm</t>
    </r>
    <r>
      <rPr>
        <sz val="9"/>
        <rFont val="Noto Sans CJK SC"/>
        <charset val="134"/>
      </rPr>
      <t>，远端肠管注入温盐水显示通过顺利，近端扩张十二直肠</t>
    </r>
    <r>
      <rPr>
        <sz val="9"/>
        <rFont val="Arial"/>
        <charset val="1"/>
      </rPr>
      <t>ladds</t>
    </r>
    <r>
      <rPr>
        <sz val="9"/>
        <rFont val="Noto Sans CJK SC"/>
        <charset val="134"/>
      </rPr>
      <t xml:space="preserve">板予以松解，行十二直肠水平部与闭锁远侧吻合，扩张十二直肠行鼠尾状裁剪，闭锁远端背侧肠管予以裁剪，扩大吻合口，吻合完毕后胃内注入气体，显示肠管通过顺利未见漏气，修补肠系膜，切除远端阑尾，摊平小肠系膜。
</t>
    </r>
    <r>
      <rPr>
        <sz val="9"/>
        <rFont val="Arial"/>
        <charset val="1"/>
      </rPr>
      <t>4</t>
    </r>
    <r>
      <rPr>
        <sz val="9"/>
        <rFont val="Noto Sans CJK SC"/>
        <charset val="134"/>
      </rPr>
      <t xml:space="preserve">．术中切除肠管送病检，清点器械，右下腹置腹腔引流管一根，温盐水冲洗腹腔。未见活动性出血。
</t>
    </r>
    <r>
      <rPr>
        <sz val="9"/>
        <rFont val="Arial"/>
        <charset val="1"/>
      </rPr>
      <t>5</t>
    </r>
    <r>
      <rPr>
        <sz val="9"/>
        <rFont val="Noto Sans CJK SC"/>
        <charset val="134"/>
      </rPr>
      <t>．逐层关腹，皮内缝合伤口，术中失血</t>
    </r>
    <r>
      <rPr>
        <sz val="9"/>
        <rFont val="Arial"/>
        <charset val="1"/>
      </rPr>
      <t>30ml</t>
    </r>
    <r>
      <rPr>
        <sz val="9"/>
        <rFont val="Noto Sans CJK SC"/>
        <charset val="134"/>
      </rPr>
      <t>，输</t>
    </r>
    <r>
      <rPr>
        <sz val="9"/>
        <rFont val="Arial"/>
        <charset val="1"/>
      </rPr>
      <t>O</t>
    </r>
    <r>
      <rPr>
        <sz val="9"/>
        <rFont val="Noto Sans CJK SC"/>
        <charset val="134"/>
      </rPr>
      <t>型血浆</t>
    </r>
    <r>
      <rPr>
        <sz val="9"/>
        <rFont val="Arial"/>
        <charset val="1"/>
      </rPr>
      <t>30ml</t>
    </r>
    <r>
      <rPr>
        <sz val="9"/>
        <rFont val="Noto Sans CJK SC"/>
        <charset val="134"/>
      </rPr>
      <t>支持治疗，编号：</t>
    </r>
    <r>
      <rPr>
        <sz val="9"/>
        <rFont val="Arial"/>
        <charset val="1"/>
      </rPr>
      <t>9000117173896.</t>
    </r>
    <r>
      <rPr>
        <sz val="9"/>
        <rFont val="Noto Sans CJK SC"/>
        <charset val="134"/>
      </rPr>
      <t>手术顺利，术毕。</t>
    </r>
  </si>
  <si>
    <r>
      <rPr>
        <sz val="9"/>
        <rFont val="Noto Sans CJK SC"/>
        <charset val="134"/>
      </rPr>
      <t>【锚定】</t>
    </r>
    <r>
      <rPr>
        <sz val="9"/>
        <rFont val="Arial"/>
        <charset val="1"/>
      </rPr>
      <t>2017-12-26</t>
    </r>
    <r>
      <rPr>
        <sz val="9"/>
        <rFont val="Noto Sans CJK SC"/>
        <charset val="134"/>
      </rPr>
      <t>｜多发性肠闭锁，巨十二指肠，肠旋转不良，肠系膜发育异常｜小肠病损切除术</t>
    </r>
    <r>
      <rPr>
        <sz val="9"/>
        <rFont val="Arial"/>
        <charset val="1"/>
      </rPr>
      <t>,</t>
    </r>
    <r>
      <rPr>
        <sz val="9"/>
        <rFont val="Noto Sans CJK SC"/>
        <charset val="134"/>
      </rPr>
      <t>小肠吻合修正术</t>
    </r>
    <r>
      <rPr>
        <sz val="9"/>
        <rFont val="Arial"/>
        <charset val="1"/>
      </rPr>
      <t>,</t>
    </r>
    <r>
      <rPr>
        <sz val="9"/>
        <rFont val="Noto Sans CJK SC"/>
        <charset val="134"/>
      </rPr>
      <t>肠系膜修补术</t>
    </r>
    <r>
      <rPr>
        <sz val="9"/>
        <rFont val="Arial"/>
        <charset val="1"/>
      </rPr>
      <t>,</t>
    </r>
    <r>
      <rPr>
        <sz val="9"/>
        <rFont val="Noto Sans CJK SC"/>
        <charset val="134"/>
      </rPr>
      <t>小肠切开减压术</t>
    </r>
    <r>
      <rPr>
        <sz val="9"/>
        <rFont val="Arial"/>
        <charset val="1"/>
      </rPr>
      <t>,</t>
    </r>
    <r>
      <rPr>
        <sz val="9"/>
        <rFont val="Noto Sans CJK SC"/>
        <charset val="134"/>
      </rPr>
      <t>小肠局部灌注经皮腹腔穿刺引流术</t>
    </r>
    <r>
      <rPr>
        <sz val="9"/>
        <rFont val="Arial"/>
        <charset val="1"/>
      </rPr>
      <t>,</t>
    </r>
    <r>
      <rPr>
        <sz val="9"/>
        <rFont val="Noto Sans CJK SC"/>
        <charset val="134"/>
      </rPr>
      <t>肠粘连</t>
    </r>
  </si>
  <si>
    <t>2013-06-19</t>
  </si>
  <si>
    <t>全肠扭转坏死，先天性肠旋转不良，全结肠型巨结肠，失血性休克，脓毒血症</t>
  </si>
  <si>
    <r>
      <rPr>
        <sz val="9"/>
        <rFont val="Noto Sans CJK SC"/>
        <charset val="134"/>
      </rPr>
      <t>剖腹探查术</t>
    </r>
    <r>
      <rPr>
        <sz val="9"/>
        <rFont val="Arial"/>
        <charset val="1"/>
      </rPr>
      <t>+</t>
    </r>
    <r>
      <rPr>
        <sz val="9"/>
        <rFont val="Noto Sans CJK SC"/>
        <charset val="134"/>
      </rPr>
      <t>肠活检术</t>
    </r>
  </si>
  <si>
    <r>
      <rPr>
        <sz val="9"/>
        <rFont val="Noto Sans CJK SC"/>
        <charset val="134"/>
      </rPr>
      <t>患儿取仰卧位麻醉满意后常规消毒铺巾，取右上腹横切口约</t>
    </r>
    <r>
      <rPr>
        <sz val="9"/>
        <rFont val="Arial"/>
        <charset val="1"/>
      </rPr>
      <t>4</t>
    </r>
    <r>
      <rPr>
        <sz val="9"/>
        <rFont val="Noto Sans CJK SC"/>
        <charset val="134"/>
      </rPr>
      <t>厘米，逐层切开进腹。可见腹腔大量暗红血性渗液约</t>
    </r>
    <r>
      <rPr>
        <sz val="9"/>
        <rFont val="Arial"/>
        <charset val="1"/>
      </rPr>
      <t>100</t>
    </r>
    <r>
      <rPr>
        <sz val="9"/>
        <rFont val="Noto Sans CJK SC"/>
        <charset val="134"/>
      </rPr>
      <t>毫升。小肠高度扩张，发黑坏死。探查腹腔，拖出全部小肠至腹腔外，未见粘连索带，回盲部位于中上腹部，肠系膜根部顺时针扭转</t>
    </r>
    <r>
      <rPr>
        <sz val="9"/>
        <rFont val="Arial"/>
        <charset val="1"/>
      </rPr>
      <t>720</t>
    </r>
    <r>
      <rPr>
        <sz val="9"/>
        <rFont val="Noto Sans CJK SC"/>
        <charset val="134"/>
      </rPr>
      <t>度，自川氏韧带到回盲部全部小肠发黑坏死，肠管无弹性，未见肠蠕动，肠腔内积聚大量暗红血性液体。复位肠系膜根部至平展，可见距回盲部</t>
    </r>
    <r>
      <rPr>
        <sz val="9"/>
        <rFont val="Arial"/>
        <charset val="1"/>
      </rPr>
      <t>20</t>
    </r>
    <r>
      <rPr>
        <sz val="9"/>
        <rFont val="Noto Sans CJK SC"/>
        <charset val="134"/>
      </rPr>
      <t>厘米末端回肠及全部结肠细小僵硬，移行段位于末端回肠</t>
    </r>
    <r>
      <rPr>
        <sz val="9"/>
        <rFont val="Arial"/>
        <charset val="1"/>
      </rPr>
      <t>20</t>
    </r>
    <r>
      <rPr>
        <sz val="9"/>
        <rFont val="Noto Sans CJK SC"/>
        <charset val="134"/>
      </rPr>
      <t>厘米处。该处未见压迹，未扪及隔膜，肠浆膜完整。考虑全结肠型巨结肠，在升结肠起始部取活检组织一块做病检。
    术中请患儿父亲至手术室了解术中病情。家长明确疾病及预后后要求放弃继续手术。故减压肠管后顺序还纳肠管回腹腔，关腹。术顺，拔管后回病房。</t>
    </r>
  </si>
  <si>
    <r>
      <rPr>
        <sz val="9"/>
        <rFont val="Noto Sans CJK SC"/>
        <charset val="134"/>
      </rPr>
      <t>【锚定】</t>
    </r>
    <r>
      <rPr>
        <sz val="9"/>
        <rFont val="Arial"/>
        <charset val="1"/>
      </rPr>
      <t>2013-06-19</t>
    </r>
    <r>
      <rPr>
        <sz val="9"/>
        <rFont val="Noto Sans CJK SC"/>
        <charset val="134"/>
      </rPr>
      <t>｜全肠扭转坏死，先天性肠旋转不良，全结肠型巨结肠，失血性休克，脓毒血症｜剖腹探查术</t>
    </r>
    <r>
      <rPr>
        <sz val="9"/>
        <rFont val="Arial"/>
        <charset val="1"/>
      </rPr>
      <t>+</t>
    </r>
    <r>
      <rPr>
        <sz val="9"/>
        <rFont val="Noto Sans CJK SC"/>
        <charset val="134"/>
      </rPr>
      <t>肠活检术</t>
    </r>
  </si>
  <si>
    <t>2013-08-19</t>
  </si>
  <si>
    <t>肠旋转不良  肠梗阻</t>
  </si>
  <si>
    <r>
      <rPr>
        <sz val="9"/>
        <rFont val="Arial"/>
        <charset val="1"/>
      </rPr>
      <t>1</t>
    </r>
    <r>
      <rPr>
        <sz val="9"/>
        <rFont val="Noto Sans CJK SC"/>
        <charset val="134"/>
      </rPr>
      <t>．麻醉满意后，患儿取仰卧位，常规消毒铺巾。</t>
    </r>
    <r>
      <rPr>
        <sz val="9"/>
        <rFont val="Arial"/>
        <charset val="1"/>
      </rPr>
      <t>2</t>
    </r>
    <r>
      <rPr>
        <sz val="9"/>
        <rFont val="Noto Sans CJK SC"/>
        <charset val="134"/>
      </rPr>
      <t>．自右侧探查切口，长约</t>
    </r>
    <r>
      <rPr>
        <sz val="9"/>
        <rFont val="Arial"/>
        <charset val="1"/>
      </rPr>
      <t>6cm</t>
    </r>
    <r>
      <rPr>
        <sz val="9"/>
        <rFont val="Noto Sans CJK SC"/>
        <charset val="134"/>
      </rPr>
      <t>，依次切开入腹，探查腹腔：见中肠顺时针旋转</t>
    </r>
    <r>
      <rPr>
        <sz val="9"/>
        <rFont val="Arial"/>
        <charset val="1"/>
      </rPr>
      <t>360</t>
    </r>
    <r>
      <rPr>
        <sz val="9"/>
        <rFont val="Noto Sans CJK SC"/>
        <charset val="134"/>
      </rPr>
      <t>度，空肠起始段与肠系膜粘连，位于脊柱偏右侧，十二指肠可见</t>
    </r>
    <r>
      <rPr>
        <sz val="9"/>
        <rFont val="Arial"/>
        <charset val="1"/>
      </rPr>
      <t>ladd's</t>
    </r>
    <r>
      <rPr>
        <sz val="9"/>
        <rFont val="Noto Sans CJK SC"/>
        <charset val="134"/>
      </rPr>
      <t xml:space="preserve">瓣覆盖，回盲部位于右侧中上腹部。肠管血运良好。肠系膜水肿明显，可及散在肿大淋巴结。结肠动脉明显增粗。
</t>
    </r>
    <r>
      <rPr>
        <sz val="9"/>
        <rFont val="Arial"/>
        <charset val="1"/>
      </rPr>
      <t>3</t>
    </r>
    <r>
      <rPr>
        <sz val="9"/>
        <rFont val="Noto Sans CJK SC"/>
        <charset val="134"/>
      </rPr>
      <t>．逆时针旋转复位中肠，松解</t>
    </r>
    <r>
      <rPr>
        <sz val="9"/>
        <rFont val="Arial"/>
        <charset val="1"/>
      </rPr>
      <t>ladd's</t>
    </r>
    <r>
      <rPr>
        <sz val="9"/>
        <rFont val="Noto Sans CJK SC"/>
        <charset val="134"/>
      </rPr>
      <t>板，拉直十二指肠。松解空肠部粘连，摊平小肠系膜。探查十二指肠通畅，未发现异常。</t>
    </r>
    <r>
      <rPr>
        <sz val="9"/>
        <rFont val="Arial"/>
        <charset val="1"/>
      </rPr>
      <t>4</t>
    </r>
    <r>
      <rPr>
        <sz val="9"/>
        <rFont val="Noto Sans CJK SC"/>
        <charset val="134"/>
      </rPr>
      <t xml:space="preserve">．结扎阑尾系膜，内套阑尾。
</t>
    </r>
    <r>
      <rPr>
        <sz val="9"/>
        <rFont val="Arial"/>
        <charset val="1"/>
      </rPr>
      <t>5</t>
    </r>
    <r>
      <rPr>
        <sz val="9"/>
        <rFont val="Noto Sans CJK SC"/>
        <charset val="134"/>
      </rPr>
      <t>．将回盲部及横结肠、升结肠置左侧腹部，十二指肠及空肠置右侧腹部，余肠管顺次还纳入腹。清点纱布器械无误，留置术尔泰一支预防肠粘连，逐层关腹，皮内缝合伤口，组织胶粘合皮肤，术中失血</t>
    </r>
    <r>
      <rPr>
        <sz val="9"/>
        <rFont val="Arial"/>
        <charset val="1"/>
      </rPr>
      <t>1ml</t>
    </r>
    <r>
      <rPr>
        <sz val="9"/>
        <rFont val="Noto Sans CJK SC"/>
        <charset val="134"/>
      </rPr>
      <t>，未输血，手术顺利，术毕。</t>
    </r>
  </si>
  <si>
    <r>
      <rPr>
        <sz val="9"/>
        <rFont val="Noto Sans CJK SC"/>
        <charset val="134"/>
      </rPr>
      <t>【锚定】</t>
    </r>
    <r>
      <rPr>
        <sz val="9"/>
        <rFont val="Arial"/>
        <charset val="1"/>
      </rPr>
      <t>2013-08-19</t>
    </r>
    <r>
      <rPr>
        <sz val="9"/>
        <rFont val="Noto Sans CJK SC"/>
        <charset val="134"/>
      </rPr>
      <t>｜肠旋转不良  肠梗阻｜剖腹探查术</t>
    </r>
  </si>
  <si>
    <r>
      <rPr>
        <sz val="9"/>
        <rFont val="Arial"/>
        <charset val="1"/>
      </rPr>
      <t>CT=</t>
    </r>
    <r>
      <rPr>
        <sz val="9"/>
        <rFont val="Noto Sans CJK SC"/>
        <charset val="134"/>
      </rPr>
      <t>检出</t>
    </r>
  </si>
  <si>
    <t>2014-02-15</t>
  </si>
  <si>
    <t>腹裂（右侧），肠狭窄，肠旋转不良，粘连性肠梗阻</t>
  </si>
  <si>
    <r>
      <rPr>
        <sz val="9"/>
        <rFont val="Noto Sans CJK SC"/>
        <charset val="134"/>
      </rPr>
      <t>肠粘连松解术</t>
    </r>
    <r>
      <rPr>
        <sz val="9"/>
        <rFont val="Arial"/>
        <charset val="1"/>
      </rPr>
      <t>+</t>
    </r>
    <r>
      <rPr>
        <sz val="9"/>
        <rFont val="Noto Sans CJK SC"/>
        <charset val="134"/>
      </rPr>
      <t>肠内容物还纳</t>
    </r>
    <r>
      <rPr>
        <sz val="9"/>
        <rFont val="Arial"/>
        <charset val="1"/>
      </rPr>
      <t>+</t>
    </r>
    <r>
      <rPr>
        <sz val="9"/>
        <rFont val="Noto Sans CJK SC"/>
        <charset val="134"/>
      </rPr>
      <t>腹裂</t>
    </r>
    <r>
      <rPr>
        <sz val="9"/>
        <rFont val="Arial"/>
        <charset val="1"/>
      </rPr>
      <t>silo</t>
    </r>
    <r>
      <rPr>
        <sz val="9"/>
        <rFont val="Noto Sans CJK SC"/>
        <charset val="134"/>
      </rPr>
      <t>袋一期修补术</t>
    </r>
  </si>
  <si>
    <r>
      <rPr>
        <sz val="9"/>
        <rFont val="Noto Sans CJK SC"/>
        <charset val="134"/>
      </rPr>
      <t>患儿入手术室后尿片未见胎便，肛诊为白粘液。予以活力碘清洗消毒外露肠管，常规消毒铺巾，探查见肠管及肠系膜根部位于脐右侧缘，裂口与</t>
    </r>
    <r>
      <rPr>
        <sz val="9"/>
        <rFont val="Arial"/>
        <charset val="1"/>
      </rPr>
      <t>2</t>
    </r>
    <r>
      <rPr>
        <sz val="9"/>
        <rFont val="Noto Sans CJK SC"/>
        <charset val="134"/>
      </rPr>
      <t>厘米，向上扩大切口</t>
    </r>
    <r>
      <rPr>
        <sz val="9"/>
        <rFont val="Arial"/>
        <charset val="1"/>
      </rPr>
      <t>1</t>
    </r>
    <r>
      <rPr>
        <sz val="9"/>
        <rFont val="Noto Sans CJK SC"/>
        <charset val="134"/>
      </rPr>
      <t>厘米后探查腹腔内，可见胃扩张，十二指肠位于裂口外，且与裂口侧壁膜状粘连，平展肠系膜根部后，回盲部及阑尾位于左下腹，升结肠、横结肠、降结肠水肿增厚，肠壁似皮革样僵硬，乙状结肠以远位于腹腔内。松解腹外粘连肠管，均为纤维素性粘连，小肠全长约</t>
    </r>
    <r>
      <rPr>
        <sz val="9"/>
        <rFont val="Arial"/>
        <charset val="1"/>
      </rPr>
      <t>120</t>
    </r>
    <r>
      <rPr>
        <sz val="9"/>
        <rFont val="Noto Sans CJK SC"/>
        <charset val="134"/>
      </rPr>
      <t>厘米，全肠壁水肿增厚，蠕动差，近端空肠和十二指肠扩张明显，远端回肠及升结肠狭小，尤以回盲部近远端肠管细小明显，减压肠内容物通过回盲部非常困难，考虑肠狭窄合并肠旋转不良。术中请患儿家长至手术室了解术中情况，告知患儿腹裂合并肠管多发畸形，预后差，家长理解疾病及治疗方案后要求放弃继续治疗。故于扩张段肠管处切开</t>
    </r>
    <r>
      <rPr>
        <sz val="9"/>
        <rFont val="Arial"/>
        <charset val="1"/>
      </rPr>
      <t>0.5</t>
    </r>
    <r>
      <rPr>
        <sz val="9"/>
        <rFont val="Noto Sans CJK SC"/>
        <charset val="134"/>
      </rPr>
      <t>厘米切口，行肠管减压后缝合切口，还纳部分肠管回腹腔，腹外露肠管予以</t>
    </r>
    <r>
      <rPr>
        <sz val="9"/>
        <rFont val="Arial"/>
        <charset val="1"/>
      </rPr>
      <t>silo</t>
    </r>
    <r>
      <rPr>
        <sz val="9"/>
        <rFont val="Noto Sans CJK SC"/>
        <charset val="134"/>
      </rPr>
      <t>袋包盖，缝合</t>
    </r>
    <r>
      <rPr>
        <sz val="9"/>
        <rFont val="Arial"/>
        <charset val="1"/>
      </rPr>
      <t>silo</t>
    </r>
    <r>
      <rPr>
        <sz val="9"/>
        <rFont val="Noto Sans CJK SC"/>
        <charset val="134"/>
      </rPr>
      <t>袋与腹裂边缘相固定。无菌敷料包盖</t>
    </r>
    <r>
      <rPr>
        <sz val="9"/>
        <rFont val="Arial"/>
        <charset val="1"/>
      </rPr>
      <t>silo</t>
    </r>
    <r>
      <rPr>
        <sz val="9"/>
        <rFont val="Noto Sans CJK SC"/>
        <charset val="134"/>
      </rPr>
      <t>袋后安返病房。术中出血</t>
    </r>
    <r>
      <rPr>
        <sz val="9"/>
        <rFont val="Arial"/>
        <charset val="1"/>
      </rPr>
      <t>10</t>
    </r>
    <r>
      <rPr>
        <sz val="9"/>
        <rFont val="Noto Sans CJK SC"/>
        <charset val="134"/>
      </rPr>
      <t>毫升，未输血。</t>
    </r>
  </si>
  <si>
    <r>
      <rPr>
        <sz val="9"/>
        <rFont val="Noto Sans CJK SC"/>
        <charset val="134"/>
      </rPr>
      <t>【锚定】</t>
    </r>
    <r>
      <rPr>
        <sz val="9"/>
        <rFont val="Arial"/>
        <charset val="1"/>
      </rPr>
      <t>2014-02-15</t>
    </r>
    <r>
      <rPr>
        <sz val="9"/>
        <rFont val="Noto Sans CJK SC"/>
        <charset val="134"/>
      </rPr>
      <t>｜腹裂（右侧），肠狭窄，肠旋转不良，粘连性肠梗阻｜肠粘连松解术</t>
    </r>
    <r>
      <rPr>
        <sz val="9"/>
        <rFont val="Arial"/>
        <charset val="1"/>
      </rPr>
      <t>+</t>
    </r>
    <r>
      <rPr>
        <sz val="9"/>
        <rFont val="Noto Sans CJK SC"/>
        <charset val="134"/>
      </rPr>
      <t>肠内容物还纳</t>
    </r>
    <r>
      <rPr>
        <sz val="9"/>
        <rFont val="Arial"/>
        <charset val="1"/>
      </rPr>
      <t>+</t>
    </r>
    <r>
      <rPr>
        <sz val="9"/>
        <rFont val="Noto Sans CJK SC"/>
        <charset val="134"/>
      </rPr>
      <t>腹裂</t>
    </r>
    <r>
      <rPr>
        <sz val="9"/>
        <rFont val="Arial"/>
        <charset val="1"/>
      </rPr>
      <t>silo</t>
    </r>
    <r>
      <rPr>
        <sz val="9"/>
        <rFont val="Noto Sans CJK SC"/>
        <charset val="134"/>
      </rPr>
      <t>袋一期修补术</t>
    </r>
  </si>
  <si>
    <t>2014-05-07</t>
  </si>
  <si>
    <t>腹裂、肠旋转不良</t>
  </si>
  <si>
    <t>腹裂一期修补术</t>
  </si>
  <si>
    <r>
      <rPr>
        <sz val="9"/>
        <rFont val="Noto Sans CJK SC"/>
        <charset val="134"/>
      </rPr>
      <t>患儿取仰卧位，麻醉满意后常规消毒铺巾，活力碘温盐水清洗外露水肿肠管，去除肠管被覆伪膜。探查外露腹腔内容物，可见右侧脐部有一</t>
    </r>
    <r>
      <rPr>
        <sz val="9"/>
        <rFont val="Arial"/>
        <charset val="1"/>
      </rPr>
      <t>2.5</t>
    </r>
    <r>
      <rPr>
        <sz val="9"/>
        <rFont val="Noto Sans CJK SC"/>
        <charset val="134"/>
      </rPr>
      <t>厘米裂口，由此胃、小肠及回盲部和大部结肠脱出于腹壁外。十二指肠位于右侧腹，有索带压迫包盖，小肠起始部位于右上腹部，回盲部位于左侧腹部，考虑肠旋转不良。松解十二指肠被覆索带，减压小肠，肠内容物通过回盲部顺利。结肠水肿肠壁僵硬明显，但减压肠内容物通畅顺利。小肠长约</t>
    </r>
    <r>
      <rPr>
        <sz val="9"/>
        <rFont val="Arial"/>
        <charset val="1"/>
      </rPr>
      <t>100</t>
    </r>
    <r>
      <rPr>
        <sz val="9"/>
        <rFont val="Noto Sans CJK SC"/>
        <charset val="134"/>
      </rPr>
      <t>厘米，拉直十二指肠后置于腹腔右侧上腹，回盲部置于左侧腹，小肠放置中腹部，还纳全部肠管回腹腔。去除脐带残端，分别结扎脐静脉、双侧脐动脉和脐尿管；全层缝合腹壁裂口，关腹前注入腹腔</t>
    </r>
    <r>
      <rPr>
        <sz val="9"/>
        <rFont val="Arial"/>
        <charset val="1"/>
      </rPr>
      <t>10</t>
    </r>
    <r>
      <rPr>
        <sz val="9"/>
        <rFont val="Noto Sans CJK SC"/>
        <charset val="134"/>
      </rPr>
      <t>毫升舒泰舒，手术经过顺利，术中出血</t>
    </r>
    <r>
      <rPr>
        <sz val="9"/>
        <rFont val="Arial"/>
        <charset val="1"/>
      </rPr>
      <t>5</t>
    </r>
    <r>
      <rPr>
        <sz val="9"/>
        <rFont val="Noto Sans CJK SC"/>
        <charset val="134"/>
      </rPr>
      <t>毫升，未输血。</t>
    </r>
  </si>
  <si>
    <r>
      <rPr>
        <sz val="9"/>
        <rFont val="Noto Sans CJK SC"/>
        <charset val="134"/>
      </rPr>
      <t>【锚定】</t>
    </r>
    <r>
      <rPr>
        <sz val="9"/>
        <rFont val="Arial"/>
        <charset val="1"/>
      </rPr>
      <t>2014-05-07</t>
    </r>
    <r>
      <rPr>
        <sz val="9"/>
        <rFont val="Noto Sans CJK SC"/>
        <charset val="134"/>
      </rPr>
      <t>｜腹裂、肠旋转不良｜腹裂一期修补术</t>
    </r>
  </si>
  <si>
    <t>2014-12-23</t>
  </si>
  <si>
    <t>先天性肠旋转不良，全肠扭转并坏死，肠破裂，弥漫性腹膜炎，感染性休克，新生儿高胆红素血症</t>
  </si>
  <si>
    <r>
      <rPr>
        <sz val="9"/>
        <rFont val="Arial"/>
        <charset val="1"/>
      </rPr>
      <t>1</t>
    </r>
    <r>
      <rPr>
        <sz val="9"/>
        <rFont val="Noto Sans CJK SC"/>
        <charset val="134"/>
      </rPr>
      <t>、取平卧位，于上述麻醉下，常规消毒皮肤，留置尿管，铺无菌巾，取右上腹横切口长约</t>
    </r>
    <r>
      <rPr>
        <sz val="9"/>
        <rFont val="Arial"/>
        <charset val="1"/>
      </rPr>
      <t>4cm</t>
    </r>
    <r>
      <rPr>
        <sz val="9"/>
        <rFont val="Noto Sans CJK SC"/>
        <charset val="134"/>
      </rPr>
      <t xml:space="preserve">，电凝止血，逐层进入腹腔。
</t>
    </r>
    <r>
      <rPr>
        <sz val="9"/>
        <rFont val="Arial"/>
        <charset val="1"/>
      </rPr>
      <t>2</t>
    </r>
    <r>
      <rPr>
        <sz val="9"/>
        <rFont val="Noto Sans CJK SC"/>
        <charset val="134"/>
      </rPr>
      <t>、探查腹腔，抽吸出见约</t>
    </r>
    <r>
      <rPr>
        <sz val="9"/>
        <rFont val="Arial"/>
        <charset val="1"/>
      </rPr>
      <t>150ml</t>
    </r>
    <r>
      <rPr>
        <sz val="9"/>
        <rFont val="Noto Sans CJK SC"/>
        <charset val="134"/>
      </rPr>
      <t>褐色血性液体，伴大量粪质样物，肠管被覆脓苔，全肠小肠发黑坏死，部分肠管有粘连，肠壁菲薄，近端空肠坏死破裂，可见粪质样物流出，脱出小肠至切口外，见回盲部位于左上腹，阑尾亦坏死，小肠顺时针扭转</t>
    </r>
    <r>
      <rPr>
        <sz val="9"/>
        <rFont val="Arial"/>
        <charset val="1"/>
      </rPr>
      <t>720</t>
    </r>
    <r>
      <rPr>
        <sz val="9"/>
        <rFont val="Noto Sans CJK SC"/>
        <charset val="134"/>
      </rPr>
      <t>度，逆时针复位后，见整个结肠行走在上腹部，小肠位于右下腹，小肠长约</t>
    </r>
    <r>
      <rPr>
        <sz val="9"/>
        <rFont val="Arial"/>
        <charset val="1"/>
      </rPr>
      <t>120 cm</t>
    </r>
    <r>
      <rPr>
        <sz val="9"/>
        <rFont val="Noto Sans CJK SC"/>
        <charset val="134"/>
      </rPr>
      <t xml:space="preserve">，肠系膜根部发黑坏死，减压肠管，肠系膜根部普鲁卡因局部封闭后小肠血运无改善。
</t>
    </r>
    <r>
      <rPr>
        <sz val="9"/>
        <rFont val="Arial"/>
        <charset val="1"/>
      </rPr>
      <t>3</t>
    </r>
    <r>
      <rPr>
        <sz val="9"/>
        <rFont val="Noto Sans CJK SC"/>
        <charset val="134"/>
      </rPr>
      <t>、术中请患儿母亲到手术室了解患儿肠管坏死情况，家长要求放弃继续手术，要求关腹，故减压肠管后检查腹腔无出血，依次还入肠管回中腹；清点器械后关腹。术后置</t>
    </r>
    <r>
      <rPr>
        <sz val="9"/>
        <rFont val="Arial"/>
        <charset val="1"/>
      </rPr>
      <t>ICU.</t>
    </r>
  </si>
  <si>
    <r>
      <rPr>
        <sz val="9"/>
        <rFont val="Noto Sans CJK SC"/>
        <charset val="134"/>
      </rPr>
      <t>【锚定】</t>
    </r>
    <r>
      <rPr>
        <sz val="9"/>
        <rFont val="Arial"/>
        <charset val="1"/>
      </rPr>
      <t>2014-12-23</t>
    </r>
    <r>
      <rPr>
        <sz val="9"/>
        <rFont val="Noto Sans CJK SC"/>
        <charset val="134"/>
      </rPr>
      <t>｜先天性肠旋转不良，全肠扭转并坏死，肠破裂，弥漫性腹膜炎，感染性休克，新生儿高胆红素血症｜剖腹探查术</t>
    </r>
  </si>
  <si>
    <t>先天性多发性小肠闭锁，先天性肠旋转不良</t>
  </si>
  <si>
    <t>肠切除，肠吻合，腹腔引流术</t>
  </si>
  <si>
    <r>
      <rPr>
        <sz val="9"/>
        <rFont val="Arial"/>
        <charset val="1"/>
      </rPr>
      <t>1</t>
    </r>
    <r>
      <rPr>
        <sz val="9"/>
        <rFont val="Noto Sans CJK SC"/>
        <charset val="134"/>
      </rPr>
      <t>、麻醉满意后患儿取平卧位，常规消毒铺巾。</t>
    </r>
    <r>
      <rPr>
        <sz val="9"/>
        <rFont val="Arial"/>
        <charset val="1"/>
      </rPr>
      <t>2</t>
    </r>
    <r>
      <rPr>
        <sz val="9"/>
        <rFont val="Noto Sans CJK SC"/>
        <charset val="134"/>
      </rPr>
      <t>、自右上腹原手术切口，剪开缝线，分离皮下组织后打开腹膜，见近端十二指肠及空肠高度扩张，直径约</t>
    </r>
    <r>
      <rPr>
        <sz val="9"/>
        <rFont val="Arial"/>
        <charset val="1"/>
      </rPr>
      <t>4cm</t>
    </r>
    <r>
      <rPr>
        <sz val="9"/>
        <rFont val="Noto Sans CJK SC"/>
        <charset val="134"/>
      </rPr>
      <t>。小肠位于右侧腹，肠系膜发育短小，回盲部位于左中上腹。扩张空肠以下小肠可见多发性闭锁，呈“腊肠样”，全程可见约</t>
    </r>
    <r>
      <rPr>
        <sz val="9"/>
        <rFont val="Arial"/>
        <charset val="1"/>
      </rPr>
      <t>12</t>
    </r>
    <r>
      <rPr>
        <sz val="9"/>
        <rFont val="Noto Sans CJK SC"/>
        <charset val="134"/>
      </rPr>
      <t>处闭锁，距离回盲部约</t>
    </r>
    <r>
      <rPr>
        <sz val="9"/>
        <rFont val="Arial"/>
        <charset val="1"/>
      </rPr>
      <t>15cm</t>
    </r>
    <r>
      <rPr>
        <sz val="9"/>
        <rFont val="Noto Sans CJK SC"/>
        <charset val="134"/>
      </rPr>
      <t>肠管稍显通畅，远端结肠细小。自最后一节闭锁处小肠注入生理盐水，可见通过回盲部顺利，远侧结肠充盈。</t>
    </r>
    <r>
      <rPr>
        <sz val="9"/>
        <rFont val="Arial"/>
        <charset val="1"/>
      </rPr>
      <t>3</t>
    </r>
    <r>
      <rPr>
        <sz val="9"/>
        <rFont val="Noto Sans CJK SC"/>
        <charset val="134"/>
      </rPr>
      <t>、由回盲部逆行检查闭锁肠管，选取其中约</t>
    </r>
    <r>
      <rPr>
        <sz val="9"/>
        <rFont val="Arial"/>
        <charset val="1"/>
      </rPr>
      <t>8</t>
    </r>
    <r>
      <rPr>
        <sz val="9"/>
        <rFont val="Noto Sans CJK SC"/>
        <charset val="134"/>
      </rPr>
      <t>段肠管予以保留，分别打开近远端，行肠减压，清除肠内容物，分别注入生理盐水显示通畅。术中以</t>
    </r>
    <r>
      <rPr>
        <sz val="9"/>
        <rFont val="Arial"/>
        <charset val="1"/>
      </rPr>
      <t>8F</t>
    </r>
    <r>
      <rPr>
        <sz val="9"/>
        <rFont val="Noto Sans CJK SC"/>
        <charset val="134"/>
      </rPr>
      <t>硅胶导尿管自扩张空肠起，将远端闭锁的</t>
    </r>
    <r>
      <rPr>
        <sz val="9"/>
        <rFont val="Arial"/>
        <charset val="1"/>
      </rPr>
      <t>8</t>
    </r>
    <r>
      <rPr>
        <sz val="9"/>
        <rFont val="Noto Sans CJK SC"/>
        <charset val="134"/>
      </rPr>
      <t>段肠管串联起来，分别行端端吻合，吻合完毕后自近端肠管注入生理盐水，显示通过顺畅，未见渗漏，小肠全长约</t>
    </r>
    <r>
      <rPr>
        <sz val="9"/>
        <rFont val="Arial"/>
        <charset val="1"/>
      </rPr>
      <t>70cm</t>
    </r>
    <r>
      <rPr>
        <sz val="9"/>
        <rFont val="Noto Sans CJK SC"/>
        <charset val="134"/>
      </rPr>
      <t>。</t>
    </r>
    <r>
      <rPr>
        <sz val="9"/>
        <rFont val="Arial"/>
        <charset val="1"/>
      </rPr>
      <t>4</t>
    </r>
    <r>
      <rPr>
        <sz val="9"/>
        <rFont val="Noto Sans CJK SC"/>
        <charset val="134"/>
      </rPr>
      <t>、切开近端扩张空肠，显露盲端，可见肠腔内隔膜样闭锁，切除隔膜，将近端肠管对系膜缘纵行切开、裁剪，并与下方狭窄小肠行端端吻合后，间断缝合近端空肠切口。术中将</t>
    </r>
    <r>
      <rPr>
        <sz val="9"/>
        <rFont val="Arial"/>
        <charset val="1"/>
      </rPr>
      <t>12F</t>
    </r>
    <r>
      <rPr>
        <sz val="9"/>
        <rFont val="Noto Sans CJK SC"/>
        <charset val="134"/>
      </rPr>
      <t>胃管经吻合口置入小肠。</t>
    </r>
    <r>
      <rPr>
        <sz val="9"/>
        <rFont val="Arial"/>
        <charset val="1"/>
      </rPr>
      <t>5</t>
    </r>
    <r>
      <rPr>
        <sz val="9"/>
        <rFont val="Noto Sans CJK SC"/>
        <charset val="134"/>
      </rPr>
      <t>、内套阑尾，修补系膜，检查无活动性出血后将肠管还纳入腹腔，右下腹置橡皮引流管一根。腹腔内注入防粘连制剂，逐层缝合腹膜、肌层、皮下组织及皮肤，医用组织胶粘合伤口。</t>
    </r>
    <r>
      <rPr>
        <sz val="9"/>
        <rFont val="Arial"/>
        <charset val="1"/>
      </rPr>
      <t>6</t>
    </r>
    <r>
      <rPr>
        <sz val="9"/>
        <rFont val="Noto Sans CJK SC"/>
        <charset val="134"/>
      </rPr>
      <t>、术毕，术中出血约</t>
    </r>
    <r>
      <rPr>
        <sz val="9"/>
        <rFont val="Arial"/>
        <charset val="1"/>
      </rPr>
      <t>5ml</t>
    </r>
    <r>
      <rPr>
        <sz val="9"/>
        <rFont val="Noto Sans CJK SC"/>
        <charset val="134"/>
      </rPr>
      <t>，予以输注</t>
    </r>
    <r>
      <rPr>
        <sz val="9"/>
        <rFont val="Arial"/>
        <charset val="1"/>
      </rPr>
      <t>B(-)</t>
    </r>
    <r>
      <rPr>
        <sz val="9"/>
        <rFont val="Noto Sans CJK SC"/>
        <charset val="134"/>
      </rPr>
      <t>红细胞</t>
    </r>
    <r>
      <rPr>
        <sz val="9"/>
        <rFont val="Arial"/>
        <charset val="1"/>
      </rPr>
      <t>0.5u</t>
    </r>
    <r>
      <rPr>
        <sz val="9"/>
        <rFont val="Noto Sans CJK SC"/>
        <charset val="134"/>
      </rPr>
      <t>，编号</t>
    </r>
    <r>
      <rPr>
        <sz val="9"/>
        <rFont val="Arial"/>
        <charset val="1"/>
      </rPr>
      <t>0181714007877</t>
    </r>
    <r>
      <rPr>
        <sz val="9"/>
        <rFont val="Noto Sans CJK SC"/>
        <charset val="134"/>
      </rPr>
      <t>，未见过敏、发热等不良反应，术后患儿无法脱离呼吸机，带气管插管返回病房，拟转入新生儿内科继续上机治疗。</t>
    </r>
  </si>
  <si>
    <r>
      <rPr>
        <sz val="9"/>
        <rFont val="Noto Sans CJK SC"/>
        <charset val="134"/>
      </rPr>
      <t>【锚定】</t>
    </r>
    <r>
      <rPr>
        <sz val="9"/>
        <rFont val="Arial"/>
        <charset val="1"/>
      </rPr>
      <t>2015-02-10</t>
    </r>
    <r>
      <rPr>
        <sz val="9"/>
        <rFont val="Noto Sans CJK SC"/>
        <charset val="134"/>
      </rPr>
      <t>｜先天性多发性小肠闭锁，先天性肠旋转不良｜肠切除，肠吻合，腹腔引流术</t>
    </r>
  </si>
  <si>
    <t>2016-03-17</t>
  </si>
  <si>
    <t>先天性肠旋转不良并扭转坏死，肠系膜裂孔疝</t>
  </si>
  <si>
    <t>剖腹探查：肠粘连松解术</t>
  </si>
  <si>
    <r>
      <rPr>
        <sz val="9"/>
        <rFont val="Arial"/>
        <charset val="1"/>
      </rPr>
      <t>1</t>
    </r>
    <r>
      <rPr>
        <sz val="9"/>
        <rFont val="Noto Sans CJK SC"/>
        <charset val="134"/>
      </rPr>
      <t>．麻醉满意后，患儿取仰卧位，常规消毒铺巾。</t>
    </r>
    <r>
      <rPr>
        <sz val="9"/>
        <rFont val="Arial"/>
        <charset val="1"/>
      </rPr>
      <t>2</t>
    </r>
    <r>
      <rPr>
        <sz val="9"/>
        <rFont val="Noto Sans CJK SC"/>
        <charset val="134"/>
      </rPr>
      <t>．自右侧探查切口，长约</t>
    </r>
    <r>
      <rPr>
        <sz val="9"/>
        <rFont val="Arial"/>
        <charset val="1"/>
      </rPr>
      <t>6cm</t>
    </r>
    <r>
      <rPr>
        <sz val="9"/>
        <rFont val="Noto Sans CJK SC"/>
        <charset val="134"/>
      </rPr>
      <t>，依次切开入腹，探查腹腔：见腹腔内血性渗液</t>
    </r>
    <r>
      <rPr>
        <sz val="9"/>
        <rFont val="Arial"/>
        <charset val="1"/>
      </rPr>
      <t>20ml</t>
    </r>
    <r>
      <rPr>
        <sz val="9"/>
        <rFont val="Noto Sans CJK SC"/>
        <charset val="134"/>
      </rPr>
      <t>，中肠顺时针旋转</t>
    </r>
    <r>
      <rPr>
        <sz val="9"/>
        <rFont val="Arial"/>
        <charset val="1"/>
      </rPr>
      <t>1080</t>
    </r>
    <r>
      <rPr>
        <sz val="9"/>
        <rFont val="Noto Sans CJK SC"/>
        <charset val="134"/>
      </rPr>
      <t>度，空肠起始段与肠系膜粘连，位于脊柱偏右侧，十二指肠可见</t>
    </r>
    <r>
      <rPr>
        <sz val="9"/>
        <rFont val="Arial"/>
        <charset val="1"/>
      </rPr>
      <t>ladd's</t>
    </r>
    <r>
      <rPr>
        <sz val="9"/>
        <rFont val="Noto Sans CJK SC"/>
        <charset val="134"/>
      </rPr>
      <t>瓣覆盖，回盲部位于右侧中上腹部。自空肠起始部至距回盲部约</t>
    </r>
    <r>
      <rPr>
        <sz val="9"/>
        <rFont val="Arial"/>
        <charset val="1"/>
      </rPr>
      <t>10cm</t>
    </r>
    <r>
      <rPr>
        <sz val="9"/>
        <rFont val="Noto Sans CJK SC"/>
        <charset val="134"/>
      </rPr>
      <t>小肠发黑，质薄如纸，无弹力。肠系膜可见一直径约</t>
    </r>
    <r>
      <rPr>
        <sz val="9"/>
        <rFont val="Arial"/>
        <charset val="1"/>
      </rPr>
      <t>2cm</t>
    </r>
    <r>
      <rPr>
        <sz val="9"/>
        <rFont val="Noto Sans CJK SC"/>
        <charset val="134"/>
      </rPr>
      <t xml:space="preserve">裂孔，空肠起始部疝入绞榨。肠系膜淤血，血管内可见血栓形成，考虑肠管扭转坏死。
</t>
    </r>
    <r>
      <rPr>
        <sz val="9"/>
        <rFont val="Arial"/>
        <charset val="1"/>
      </rPr>
      <t>3</t>
    </r>
    <r>
      <rPr>
        <sz val="9"/>
        <rFont val="Noto Sans CJK SC"/>
        <charset val="134"/>
      </rPr>
      <t>．逆时针旋转复位中肠，松解</t>
    </r>
    <r>
      <rPr>
        <sz val="9"/>
        <rFont val="Arial"/>
        <charset val="1"/>
      </rPr>
      <t>ladd's</t>
    </r>
    <r>
      <rPr>
        <sz val="9"/>
        <rFont val="Noto Sans CJK SC"/>
        <charset val="134"/>
      </rPr>
      <t>板后，小肠血运仍未见明显改善。术中请家长进入手术室告知病情：患儿为先天性肠旋转不良并扭转导致全肠坏死，无法进行补救，预后极差。家长了解病情后表示终止手术，要求放弃治疗。</t>
    </r>
    <r>
      <rPr>
        <sz val="9"/>
        <rFont val="Arial"/>
        <charset val="1"/>
      </rPr>
      <t>4</t>
    </r>
    <r>
      <rPr>
        <sz val="9"/>
        <rFont val="Noto Sans CJK SC"/>
        <charset val="134"/>
      </rPr>
      <t xml:space="preserve">．将回盲部及横结肠、升结肠置左侧腹部，十二指肠及空肠置右侧腹部，余肠管顺次还纳入腹，摊平肠系膜。清点纱布器械无误，逐层关腹。
</t>
    </r>
    <r>
      <rPr>
        <sz val="9"/>
        <rFont val="Arial"/>
        <charset val="1"/>
      </rPr>
      <t xml:space="preserve">5. </t>
    </r>
    <r>
      <rPr>
        <sz val="9"/>
        <rFont val="Noto Sans CJK SC"/>
        <charset val="134"/>
      </rPr>
      <t>术毕，术中失血</t>
    </r>
    <r>
      <rPr>
        <sz val="9"/>
        <rFont val="Arial"/>
        <charset val="1"/>
      </rPr>
      <t>1ml</t>
    </r>
    <r>
      <rPr>
        <sz val="9"/>
        <rFont val="Noto Sans CJK SC"/>
        <charset val="134"/>
      </rPr>
      <t>，未输血，患儿安返病房。</t>
    </r>
  </si>
  <si>
    <r>
      <rPr>
        <sz val="9"/>
        <rFont val="Noto Sans CJK SC"/>
        <charset val="134"/>
      </rPr>
      <t>【锚定】</t>
    </r>
    <r>
      <rPr>
        <sz val="9"/>
        <rFont val="Arial"/>
        <charset val="1"/>
      </rPr>
      <t>2016-03-17</t>
    </r>
    <r>
      <rPr>
        <sz val="9"/>
        <rFont val="Noto Sans CJK SC"/>
        <charset val="134"/>
      </rPr>
      <t>｜先天性肠旋转不良并扭转坏死，肠系膜裂孔疝｜剖腹探查：肠粘连松解术</t>
    </r>
  </si>
  <si>
    <t>2017-07-05</t>
  </si>
  <si>
    <t>先天性肠旋转不良，肠绞榨肠坏死</t>
  </si>
  <si>
    <r>
      <rPr>
        <sz val="9"/>
        <rFont val="Noto Sans CJK SC"/>
        <charset val="134"/>
      </rPr>
      <t>患儿取仰卧位，麻醉满意后常规消毒铺巾，取右上腹脐上</t>
    </r>
    <r>
      <rPr>
        <sz val="9"/>
        <rFont val="Arial"/>
        <charset val="1"/>
      </rPr>
      <t>2</t>
    </r>
    <r>
      <rPr>
        <sz val="9"/>
        <rFont val="Noto Sans CJK SC"/>
        <charset val="134"/>
      </rPr>
      <t>厘米做横行切口约</t>
    </r>
    <r>
      <rPr>
        <sz val="9"/>
        <rFont val="Arial"/>
        <charset val="1"/>
      </rPr>
      <t>4</t>
    </r>
    <r>
      <rPr>
        <sz val="9"/>
        <rFont val="Noto Sans CJK SC"/>
        <charset val="134"/>
      </rPr>
      <t>厘米，逐层切开进腹。肠系膜顺时针旋转</t>
    </r>
    <r>
      <rPr>
        <sz val="9"/>
        <rFont val="Arial"/>
        <charset val="1"/>
      </rPr>
      <t>360</t>
    </r>
    <r>
      <rPr>
        <sz val="9"/>
        <rFont val="Noto Sans CJK SC"/>
        <charset val="134"/>
      </rPr>
      <t>度，回盲部位于右中上腹部，阑尾及约</t>
    </r>
    <r>
      <rPr>
        <sz val="9"/>
        <rFont val="Arial"/>
        <charset val="1"/>
      </rPr>
      <t>10</t>
    </r>
    <r>
      <rPr>
        <sz val="9"/>
        <rFont val="Noto Sans CJK SC"/>
        <charset val="134"/>
      </rPr>
      <t>厘米回肠与肠系膜根部粘连紧密，逆时针复位后，见整个结肠行走在上腹部，小肠位于右下腹，小肠长约</t>
    </r>
    <r>
      <rPr>
        <sz val="9"/>
        <rFont val="Arial"/>
        <charset val="1"/>
      </rPr>
      <t>200cm</t>
    </r>
    <r>
      <rPr>
        <sz val="9"/>
        <rFont val="Noto Sans CJK SC"/>
        <charset val="134"/>
      </rPr>
      <t>，十二指肠第三段及近端空肠迂曲粘连，有膜状索带附着于将十二指肠和近端空肠粘连在横结肠系膜上，近端十二指肠明显扩张，部分空肠起始段与肠系膜粘连致密，分离膜状粘连，可见空肠起始端压迫绞榨坏死，但未见穿孔，局部肠管苍白菲薄，呈缺血坏死。切除该处绞榨坏死小肠，行端端吻合，修补肠系膜。松解横结肠右侧及肝曲结肠，彻底游离并拖至左上腹，显露十二指肠空肠曲，松解</t>
    </r>
    <r>
      <rPr>
        <sz val="9"/>
        <rFont val="Arial"/>
        <charset val="1"/>
      </rPr>
      <t>ladd's</t>
    </r>
    <r>
      <rPr>
        <sz val="9"/>
        <rFont val="Noto Sans CJK SC"/>
        <charset val="134"/>
      </rPr>
      <t>板并拉直，逆时针复位扭转的肠系膜和肠管，内套阑尾。将回盲部及横结肠、升结肠置左侧腹部，十二指肠及空肠置右侧腹部，余肠管顺次还纳入腹。检查腹腔无出血，吸尽腹腔积液，流体止血膜</t>
    </r>
    <r>
      <rPr>
        <sz val="9"/>
        <rFont val="Arial"/>
        <charset val="1"/>
      </rPr>
      <t>100</t>
    </r>
    <r>
      <rPr>
        <sz val="9"/>
        <rFont val="Noto Sans CJK SC"/>
        <charset val="134"/>
      </rPr>
      <t>毫升冲洗腹腔，透明质酸钠凝胶</t>
    </r>
    <r>
      <rPr>
        <sz val="9"/>
        <rFont val="Arial"/>
        <charset val="1"/>
      </rPr>
      <t>5</t>
    </r>
    <r>
      <rPr>
        <sz val="9"/>
        <rFont val="Noto Sans CJK SC"/>
        <charset val="134"/>
      </rPr>
      <t>毫升腹腔内保留防止粘连，清点手术器械无误后逐层关腹，手术经过顺利，术中出血</t>
    </r>
    <r>
      <rPr>
        <sz val="9"/>
        <rFont val="Arial"/>
        <charset val="1"/>
      </rPr>
      <t>2</t>
    </r>
    <r>
      <rPr>
        <sz val="9"/>
        <rFont val="Noto Sans CJK SC"/>
        <charset val="134"/>
      </rPr>
      <t>毫升，未输血。</t>
    </r>
  </si>
  <si>
    <r>
      <rPr>
        <sz val="9"/>
        <rFont val="Noto Sans CJK SC"/>
        <charset val="134"/>
      </rPr>
      <t>【锚定】</t>
    </r>
    <r>
      <rPr>
        <sz val="9"/>
        <rFont val="Arial"/>
        <charset val="1"/>
      </rPr>
      <t>2017-07-05</t>
    </r>
    <r>
      <rPr>
        <sz val="9"/>
        <rFont val="Noto Sans CJK SC"/>
        <charset val="134"/>
      </rPr>
      <t>｜先天性肠旋转不良，肠绞榨肠坏死｜</t>
    </r>
  </si>
  <si>
    <t>2015-04-11</t>
  </si>
  <si>
    <t>先天性肠旋转不良，十二指肠压迫并梗阻，空肠狭窄并梗阻，小肠粘连性肠梗阻</t>
  </si>
  <si>
    <r>
      <rPr>
        <sz val="9"/>
        <rFont val="Noto Sans CJK SC"/>
        <charset val="134"/>
      </rPr>
      <t>腹腔镜探查</t>
    </r>
    <r>
      <rPr>
        <sz val="9"/>
        <rFont val="Arial"/>
        <charset val="1"/>
      </rPr>
      <t>+</t>
    </r>
    <r>
      <rPr>
        <sz val="9"/>
        <rFont val="Noto Sans CJK SC"/>
        <charset val="134"/>
      </rPr>
      <t>肠粘连肠松解</t>
    </r>
    <r>
      <rPr>
        <sz val="9"/>
        <rFont val="Arial"/>
        <charset val="1"/>
      </rPr>
      <t>+</t>
    </r>
    <r>
      <rPr>
        <sz val="9"/>
        <rFont val="Noto Sans CJK SC"/>
        <charset val="134"/>
      </rPr>
      <t>腹腔引流术</t>
    </r>
  </si>
  <si>
    <r>
      <rPr>
        <sz val="9"/>
        <rFont val="Arial"/>
        <charset val="1"/>
      </rPr>
      <t>1</t>
    </r>
    <r>
      <rPr>
        <sz val="9"/>
        <rFont val="Noto Sans CJK SC"/>
        <charset val="134"/>
      </rPr>
      <t xml:space="preserve">．麻醉满意后，患儿取仰卧位，常规消毒铺巾。
</t>
    </r>
    <r>
      <rPr>
        <sz val="9"/>
        <rFont val="Arial"/>
        <charset val="1"/>
      </rPr>
      <t>2</t>
    </r>
    <r>
      <rPr>
        <sz val="9"/>
        <rFont val="Noto Sans CJK SC"/>
        <charset val="134"/>
      </rPr>
      <t>、首先在脐窝左行纵行切开</t>
    </r>
    <r>
      <rPr>
        <sz val="9"/>
        <rFont val="Arial"/>
        <charset val="1"/>
      </rPr>
      <t>3mm</t>
    </r>
    <r>
      <rPr>
        <sz val="9"/>
        <rFont val="Noto Sans CJK SC"/>
        <charset val="134"/>
      </rPr>
      <t>，置入</t>
    </r>
    <r>
      <rPr>
        <sz val="9"/>
        <rFont val="Arial"/>
        <charset val="1"/>
      </rPr>
      <t xml:space="preserve">3mm Ttrocar </t>
    </r>
    <r>
      <rPr>
        <sz val="9"/>
        <rFont val="Noto Sans CJK SC"/>
        <charset val="134"/>
      </rPr>
      <t>形成人工气腹，气腹压力</t>
    </r>
    <r>
      <rPr>
        <sz val="9"/>
        <rFont val="Arial"/>
        <charset val="1"/>
      </rPr>
      <t>10mmHg</t>
    </r>
    <r>
      <rPr>
        <sz val="9"/>
        <rFont val="Noto Sans CJK SC"/>
        <charset val="134"/>
      </rPr>
      <t>，再分别于脐旁左侧缘、脐右腹直肌外缘处置入</t>
    </r>
    <r>
      <rPr>
        <sz val="9"/>
        <rFont val="Arial"/>
        <charset val="1"/>
      </rPr>
      <t>5mm Ttrocar</t>
    </r>
    <r>
      <rPr>
        <sz val="9"/>
        <rFont val="Noto Sans CJK SC"/>
        <charset val="134"/>
      </rPr>
      <t>。</t>
    </r>
    <r>
      <rPr>
        <sz val="9"/>
        <rFont val="Arial"/>
        <charset val="1"/>
      </rPr>
      <t>3</t>
    </r>
    <r>
      <rPr>
        <sz val="9"/>
        <rFont val="Noto Sans CJK SC"/>
        <charset val="134"/>
      </rPr>
      <t>．探查腹腔见，小肠广泛粘连成团，回盲部位于左侧腹中下部与侧腹壁粘连，较固定，未见阑尾。终止腹腔镜操作，取右上腹原切口，长约</t>
    </r>
    <r>
      <rPr>
        <sz val="9"/>
        <rFont val="Arial"/>
        <charset val="1"/>
      </rPr>
      <t>6cm</t>
    </r>
    <r>
      <rPr>
        <sz val="9"/>
        <rFont val="Noto Sans CJK SC"/>
        <charset val="134"/>
      </rPr>
      <t>，依次切开入腹，小肠广泛粘连成团，钝锐性交替分离粘连肠管，可见空肠起始段位于脊柱偏右侧与肠系膜粘连，肠壁有粘连带卡压痕迹并狭窄，松解粘连空肠狭窄处通气良好。十二指肠仍可见</t>
    </r>
    <r>
      <rPr>
        <sz val="9"/>
        <rFont val="Arial"/>
        <charset val="1"/>
      </rPr>
      <t>ladd's</t>
    </r>
    <r>
      <rPr>
        <sz val="9"/>
        <rFont val="Noto Sans CJK SC"/>
        <charset val="134"/>
      </rPr>
      <t xml:space="preserve">瓣覆盖，近端肠管扩张，十二指肠水平部肠管官腔明显压迫梗阻，横结肠位于右下腹，肠管血运良好。
</t>
    </r>
    <r>
      <rPr>
        <sz val="9"/>
        <rFont val="Arial"/>
        <charset val="1"/>
      </rPr>
      <t>4</t>
    </r>
    <r>
      <rPr>
        <sz val="9"/>
        <rFont val="Noto Sans CJK SC"/>
        <charset val="134"/>
      </rPr>
      <t>．彻底松解小肠粘连肠管，摊平小肠系膜，小肠系膜发育较差，松解过程中部分管壁浆肌层撕裂，行浆肌层修补。空肠起始端至回盲部小肠长约</t>
    </r>
    <r>
      <rPr>
        <sz val="9"/>
        <rFont val="Arial"/>
        <charset val="1"/>
      </rPr>
      <t>110cm</t>
    </r>
    <r>
      <rPr>
        <sz val="9"/>
        <rFont val="Noto Sans CJK SC"/>
        <charset val="134"/>
      </rPr>
      <t>。松解</t>
    </r>
    <r>
      <rPr>
        <sz val="9"/>
        <rFont val="Arial"/>
        <charset val="1"/>
      </rPr>
      <t>ladd's</t>
    </r>
    <r>
      <rPr>
        <sz val="9"/>
        <rFont val="Noto Sans CJK SC"/>
        <charset val="134"/>
      </rPr>
      <t>板，拉直十二指肠</t>
    </r>
    <r>
      <rPr>
        <sz val="9"/>
        <rFont val="Arial"/>
        <charset val="1"/>
      </rPr>
      <t>,</t>
    </r>
    <r>
      <rPr>
        <sz val="9"/>
        <rFont val="Noto Sans CJK SC"/>
        <charset val="134"/>
      </rPr>
      <t xml:space="preserve">探查十二指肠通畅，未发现异常。将回盲部及横结肠、升结肠置左侧腹部，十二指肠及空肠置右侧腹部，余肠管顺次还纳入腹。
</t>
    </r>
    <r>
      <rPr>
        <sz val="9"/>
        <rFont val="Arial"/>
        <charset val="1"/>
      </rPr>
      <t>5.</t>
    </r>
    <r>
      <rPr>
        <sz val="9"/>
        <rFont val="Noto Sans CJK SC"/>
        <charset val="134"/>
      </rPr>
      <t>清点纱布器械无误，温盐水冲洗腹腔直至腹腔引流液清亮，未见明显活动性出血，右下腹留置腹腔引流管一根，腹腔注入粘停宁</t>
    </r>
    <r>
      <rPr>
        <sz val="9"/>
        <rFont val="Arial"/>
        <charset val="1"/>
      </rPr>
      <t>2</t>
    </r>
    <r>
      <rPr>
        <sz val="9"/>
        <rFont val="Noto Sans CJK SC"/>
        <charset val="134"/>
      </rPr>
      <t>支，逐层关腹，手术顺利，术毕患儿转入</t>
    </r>
    <r>
      <rPr>
        <sz val="9"/>
        <rFont val="Arial"/>
        <charset val="1"/>
      </rPr>
      <t>SICU.6.</t>
    </r>
    <r>
      <rPr>
        <sz val="9"/>
        <rFont val="Noto Sans CJK SC"/>
        <charset val="134"/>
      </rPr>
      <t>术中出血约</t>
    </r>
    <r>
      <rPr>
        <sz val="9"/>
        <rFont val="Arial"/>
        <charset val="1"/>
      </rPr>
      <t>0.5ml</t>
    </r>
    <r>
      <rPr>
        <sz val="9"/>
        <rFont val="Noto Sans CJK SC"/>
        <charset val="134"/>
      </rPr>
      <t>，尿量约</t>
    </r>
    <r>
      <rPr>
        <sz val="9"/>
        <rFont val="Arial"/>
        <charset val="1"/>
      </rPr>
      <t>50ml</t>
    </r>
    <r>
      <rPr>
        <sz val="9"/>
        <rFont val="Noto Sans CJK SC"/>
        <charset val="134"/>
      </rPr>
      <t>。</t>
    </r>
  </si>
  <si>
    <r>
      <rPr>
        <sz val="9"/>
        <rFont val="Noto Sans CJK SC"/>
        <charset val="134"/>
      </rPr>
      <t>【锚定】</t>
    </r>
    <r>
      <rPr>
        <sz val="9"/>
        <rFont val="Arial"/>
        <charset val="1"/>
      </rPr>
      <t>2015-04-11</t>
    </r>
    <r>
      <rPr>
        <sz val="9"/>
        <rFont val="Noto Sans CJK SC"/>
        <charset val="134"/>
      </rPr>
      <t>｜先天性肠旋转不良，十二指肠压迫并梗阻，空肠狭窄并梗阻，小肠粘连性肠梗阻｜腹腔镜探查</t>
    </r>
    <r>
      <rPr>
        <sz val="9"/>
        <rFont val="Arial"/>
        <charset val="1"/>
      </rPr>
      <t>+</t>
    </r>
    <r>
      <rPr>
        <sz val="9"/>
        <rFont val="Noto Sans CJK SC"/>
        <charset val="134"/>
      </rPr>
      <t>肠粘连肠松解</t>
    </r>
    <r>
      <rPr>
        <sz val="9"/>
        <rFont val="Arial"/>
        <charset val="1"/>
      </rPr>
      <t>+</t>
    </r>
    <r>
      <rPr>
        <sz val="9"/>
        <rFont val="Noto Sans CJK SC"/>
        <charset val="134"/>
      </rPr>
      <t>腹腔引流术</t>
    </r>
  </si>
  <si>
    <t>2014-04-14</t>
  </si>
  <si>
    <t>十二指肠膜式闭锁，十二指肠旋转不良，右腹股沟斜疝，肠粘连</t>
  </si>
  <si>
    <t>腹腔镜右疝环高扎、十二指肠空肠菱形吻合、阑尾切除、腹腔引流术</t>
  </si>
  <si>
    <r>
      <rPr>
        <sz val="9"/>
        <rFont val="Arial"/>
        <charset val="1"/>
      </rPr>
      <t>1.</t>
    </r>
    <r>
      <rPr>
        <sz val="9"/>
        <rFont val="Noto Sans CJK SC"/>
        <charset val="134"/>
      </rPr>
      <t xml:space="preserve">麻醉满意后，留置导尿管，常规消毒铺巾。
</t>
    </r>
    <r>
      <rPr>
        <sz val="9"/>
        <rFont val="Arial"/>
        <charset val="1"/>
      </rPr>
      <t>2.</t>
    </r>
    <r>
      <rPr>
        <sz val="9"/>
        <rFont val="Noto Sans CJK SC"/>
        <charset val="134"/>
      </rPr>
      <t>于脐轮左侧、右中腹及右上腹分别作小切口，脐部置入</t>
    </r>
    <r>
      <rPr>
        <sz val="9"/>
        <rFont val="Arial"/>
        <charset val="1"/>
      </rPr>
      <t>3mm</t>
    </r>
    <r>
      <rPr>
        <sz val="9"/>
        <rFont val="Noto Sans CJK SC"/>
        <charset val="134"/>
      </rPr>
      <t>直径</t>
    </r>
    <r>
      <rPr>
        <sz val="9"/>
        <rFont val="Arial"/>
        <charset val="1"/>
      </rPr>
      <t>Trocar</t>
    </r>
    <r>
      <rPr>
        <sz val="9"/>
        <rFont val="Noto Sans CJK SC"/>
        <charset val="134"/>
      </rPr>
      <t>，右侧腹分别置入</t>
    </r>
    <r>
      <rPr>
        <sz val="9"/>
        <rFont val="Arial"/>
        <charset val="1"/>
      </rPr>
      <t>5mm</t>
    </r>
    <r>
      <rPr>
        <sz val="9"/>
        <rFont val="Noto Sans CJK SC"/>
        <charset val="134"/>
      </rPr>
      <t>直径</t>
    </r>
    <r>
      <rPr>
        <sz val="9"/>
        <rFont val="Arial"/>
        <charset val="1"/>
      </rPr>
      <t>Trocar</t>
    </r>
    <r>
      <rPr>
        <sz val="9"/>
        <rFont val="Noto Sans CJK SC"/>
        <charset val="134"/>
      </rPr>
      <t xml:space="preserve">，建立气腹，进目镜及操作钳探查，见回盲部位于右中上腹，与侧腹膜粘连，十二指肠近端扩张、十二指肠及空肠起始部旋转，并粘连，腹腔镜下游离困难，拟中转开腹。术中探查见右侧鞘状突未闭合，补充诊断右腹股沟斜疝，以特制针带线，于内环体表投影点进针，于腹膜外环形包绕内环口并打结于皮下，检查双侧鞘状突已闭合，子宫附件无损伤。
</t>
    </r>
    <r>
      <rPr>
        <sz val="9"/>
        <rFont val="Arial"/>
        <charset val="1"/>
      </rPr>
      <t>3.</t>
    </r>
    <r>
      <rPr>
        <sz val="9"/>
        <rFont val="Noto Sans CJK SC"/>
        <charset val="134"/>
      </rPr>
      <t>沿右上腹</t>
    </r>
    <r>
      <rPr>
        <sz val="9"/>
        <rFont val="Arial"/>
        <charset val="1"/>
      </rPr>
      <t>Trocar</t>
    </r>
    <r>
      <rPr>
        <sz val="9"/>
        <rFont val="Noto Sans CJK SC"/>
        <charset val="134"/>
      </rPr>
      <t>孔水平做右上腹横行切口，逐层进腹，松解</t>
    </r>
    <r>
      <rPr>
        <sz val="9"/>
        <rFont val="Arial"/>
        <charset val="1"/>
      </rPr>
      <t>Ladd's</t>
    </r>
    <r>
      <rPr>
        <sz val="9"/>
        <rFont val="Noto Sans CJK SC"/>
        <charset val="134"/>
      </rPr>
      <t>板，暴露十二指肠至空肠段，见十二指肠及空肠起始部粘连紧密，似扪及一隔膜，遂行十二指肠水平段</t>
    </r>
    <r>
      <rPr>
        <sz val="9"/>
        <rFont val="Arial"/>
        <charset val="1"/>
      </rPr>
      <t>-</t>
    </r>
    <r>
      <rPr>
        <sz val="9"/>
        <rFont val="Noto Sans CJK SC"/>
        <charset val="134"/>
      </rPr>
      <t>空肠菱形吻合，检查吻合口通过良好，无漏气漏液。结扎阑尾系膜血管，切除阑尾送病检，荷包缝合包埋阑尾残端。将空肠放置于右中腹，回盲部放置于左侧腹，还纳肠管，于右侧腹</t>
    </r>
    <r>
      <rPr>
        <sz val="9"/>
        <rFont val="Arial"/>
        <charset val="1"/>
      </rPr>
      <t>Trocar</t>
    </r>
    <r>
      <rPr>
        <sz val="9"/>
        <rFont val="Noto Sans CJK SC"/>
        <charset val="134"/>
      </rPr>
      <t>孔置腹腔引流管于直肠子宫陷凹，并固定，留置术泰舒</t>
    </r>
    <r>
      <rPr>
        <sz val="9"/>
        <rFont val="Arial"/>
        <charset val="1"/>
      </rPr>
      <t>20ml</t>
    </r>
    <r>
      <rPr>
        <sz val="9"/>
        <rFont val="Noto Sans CJK SC"/>
        <charset val="134"/>
      </rPr>
      <t xml:space="preserve">于腹腔预防肠粘连，检查手术野无活动性出血，逐层关腹，间断缝合肌层，皮内缝合皮肤，组织胶粘合伤口，包扎伤口。
</t>
    </r>
    <r>
      <rPr>
        <sz val="9"/>
        <rFont val="Arial"/>
        <charset val="1"/>
      </rPr>
      <t>4.</t>
    </r>
    <r>
      <rPr>
        <sz val="9"/>
        <rFont val="Noto Sans CJK SC"/>
        <charset val="134"/>
      </rPr>
      <t>术中出血约</t>
    </r>
    <r>
      <rPr>
        <sz val="9"/>
        <rFont val="Arial"/>
        <charset val="1"/>
      </rPr>
      <t>1ml</t>
    </r>
    <r>
      <rPr>
        <sz val="9"/>
        <rFont val="Noto Sans CJK SC"/>
        <charset val="134"/>
      </rPr>
      <t>，未输血，术毕患儿安返病房。</t>
    </r>
  </si>
  <si>
    <r>
      <rPr>
        <sz val="9"/>
        <rFont val="Noto Sans CJK SC"/>
        <charset val="134"/>
      </rPr>
      <t>【锚定】</t>
    </r>
    <r>
      <rPr>
        <sz val="9"/>
        <rFont val="Arial"/>
        <charset val="1"/>
      </rPr>
      <t>2014-04-14</t>
    </r>
    <r>
      <rPr>
        <sz val="9"/>
        <rFont val="Noto Sans CJK SC"/>
        <charset val="134"/>
      </rPr>
      <t>｜十二指肠膜式闭锁，十二指肠旋转不良，右腹股沟斜疝，肠粘连｜腹腔镜右疝环高扎、十二指肠空肠菱形吻合、阑尾切除、腹腔引流术</t>
    </r>
  </si>
  <si>
    <r>
      <rPr>
        <sz val="9"/>
        <rFont val="Arial"/>
        <charset val="1"/>
      </rPr>
      <t>CT=</t>
    </r>
    <r>
      <rPr>
        <sz val="9"/>
        <rFont val="Noto Sans CJK SC"/>
        <charset val="134"/>
      </rPr>
      <t>未检出；</t>
    </r>
    <r>
      <rPr>
        <sz val="9"/>
        <rFont val="Arial"/>
        <charset val="1"/>
      </rPr>
      <t>UGI=</t>
    </r>
    <r>
      <rPr>
        <sz val="9"/>
        <rFont val="Noto Sans CJK SC"/>
        <charset val="134"/>
      </rPr>
      <t>检出</t>
    </r>
  </si>
  <si>
    <t>2020-08-28</t>
  </si>
  <si>
    <r>
      <rPr>
        <sz val="9"/>
        <rFont val="Arial"/>
        <charset val="1"/>
      </rPr>
      <t>1.</t>
    </r>
    <r>
      <rPr>
        <sz val="9"/>
        <rFont val="Noto Sans CJK SC"/>
        <charset val="134"/>
      </rPr>
      <t xml:space="preserve">粘连性肠梗阻 </t>
    </r>
    <r>
      <rPr>
        <sz val="9"/>
        <rFont val="Arial"/>
        <charset val="1"/>
      </rPr>
      <t>2.</t>
    </r>
    <r>
      <rPr>
        <sz val="9"/>
        <rFont val="Noto Sans CJK SC"/>
        <charset val="134"/>
      </rPr>
      <t xml:space="preserve">手术的随诊医疗（肠旋转不良术后） </t>
    </r>
    <r>
      <rPr>
        <sz val="9"/>
        <rFont val="Arial"/>
        <charset val="1"/>
      </rPr>
      <t>3.</t>
    </r>
    <r>
      <rPr>
        <sz val="9"/>
        <rFont val="Noto Sans CJK SC"/>
        <charset val="134"/>
      </rPr>
      <t>中度脱水</t>
    </r>
  </si>
  <si>
    <r>
      <rPr>
        <sz val="9"/>
        <rFont val="Noto Sans CJK SC"/>
        <charset val="134"/>
      </rPr>
      <t>肠粘连松解术</t>
    </r>
    <r>
      <rPr>
        <sz val="9"/>
        <rFont val="Arial"/>
        <charset val="1"/>
      </rPr>
      <t>+</t>
    </r>
    <r>
      <rPr>
        <sz val="9"/>
        <rFont val="Noto Sans CJK SC"/>
        <charset val="134"/>
      </rPr>
      <t>腹腔冲洗检查</t>
    </r>
  </si>
  <si>
    <r>
      <rPr>
        <sz val="9"/>
        <rFont val="Arial"/>
        <charset val="1"/>
      </rPr>
      <t>1</t>
    </r>
    <r>
      <rPr>
        <sz val="9"/>
        <rFont val="Noto Sans CJK SC"/>
        <charset val="134"/>
      </rPr>
      <t xml:space="preserve">、麻醉满意后，患儿取仰卧位，常规消毒铺巾导尿。
</t>
    </r>
    <r>
      <rPr>
        <sz val="9"/>
        <rFont val="Arial"/>
        <charset val="1"/>
      </rPr>
      <t>2</t>
    </r>
    <r>
      <rPr>
        <sz val="9"/>
        <rFont val="Noto Sans CJK SC"/>
        <charset val="134"/>
      </rPr>
      <t>、于肚脐上方稍右侧行横行探查切口，长约</t>
    </r>
    <r>
      <rPr>
        <sz val="9"/>
        <rFont val="Arial"/>
        <charset val="1"/>
      </rPr>
      <t>4cm</t>
    </r>
    <r>
      <rPr>
        <sz val="9"/>
        <rFont val="Noto Sans CJK SC"/>
        <charset val="134"/>
      </rPr>
      <t>，依次切开入腹，探查腹腔：见肠管与腹壁、肠管间、肠管与肠系膜广泛粘连，部分粘连严重成角，小肠被索带压迫严重，肠管淤血青紫，淋巴结肿大，肠壁及肠系膜上可见散在小血肿。充分松解粘连及索带，热盐水纱布包裹</t>
    </r>
    <r>
      <rPr>
        <sz val="9"/>
        <rFont val="Arial"/>
        <charset val="1"/>
      </rPr>
      <t>2</t>
    </r>
    <r>
      <rPr>
        <sz val="9"/>
        <rFont val="Noto Sans CJK SC"/>
        <charset val="134"/>
      </rPr>
      <t>分钟，肠管血运良好，行全肠管内减压，无穿孔，坏死。检查空肠起始段位于脊柱偏右侧，摊平小肠系膜，系膜宽度约</t>
    </r>
    <r>
      <rPr>
        <sz val="9"/>
        <rFont val="Arial"/>
        <charset val="1"/>
      </rPr>
      <t>4cm</t>
    </r>
    <r>
      <rPr>
        <sz val="9"/>
        <rFont val="Noto Sans CJK SC"/>
        <charset val="134"/>
      </rPr>
      <t xml:space="preserve">。探查十二指肠通畅，未发现异常。
</t>
    </r>
    <r>
      <rPr>
        <sz val="9"/>
        <rFont val="Arial"/>
        <charset val="1"/>
      </rPr>
      <t>3</t>
    </r>
    <r>
      <rPr>
        <sz val="9"/>
        <rFont val="Noto Sans CJK SC"/>
        <charset val="134"/>
      </rPr>
      <t xml:space="preserve">、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
</t>
    </r>
    <r>
      <rPr>
        <sz val="9"/>
        <rFont val="Arial"/>
        <charset val="1"/>
      </rPr>
      <t>4</t>
    </r>
    <r>
      <rPr>
        <sz val="9"/>
        <rFont val="Noto Sans CJK SC"/>
        <charset val="134"/>
      </rPr>
      <t>、术中失血</t>
    </r>
    <r>
      <rPr>
        <sz val="9"/>
        <rFont val="Arial"/>
        <charset val="1"/>
      </rPr>
      <t>1ml</t>
    </r>
    <r>
      <rPr>
        <sz val="9"/>
        <rFont val="Noto Sans CJK SC"/>
        <charset val="134"/>
      </rPr>
      <t>，未输血，手术顺利，术毕。</t>
    </r>
  </si>
  <si>
    <r>
      <rPr>
        <sz val="9"/>
        <rFont val="Noto Sans CJK SC"/>
        <charset val="134"/>
      </rPr>
      <t>【锚定】</t>
    </r>
    <r>
      <rPr>
        <sz val="9"/>
        <rFont val="Arial"/>
        <charset val="1"/>
      </rPr>
      <t>2020-08-28</t>
    </r>
    <r>
      <rPr>
        <sz val="9"/>
        <rFont val="Noto Sans CJK SC"/>
        <charset val="134"/>
      </rPr>
      <t>｜</t>
    </r>
    <r>
      <rPr>
        <sz val="9"/>
        <rFont val="Arial"/>
        <charset val="1"/>
      </rPr>
      <t>1.</t>
    </r>
    <r>
      <rPr>
        <sz val="9"/>
        <rFont val="Noto Sans CJK SC"/>
        <charset val="134"/>
      </rPr>
      <t xml:space="preserve">粘连性肠梗阻 </t>
    </r>
    <r>
      <rPr>
        <sz val="9"/>
        <rFont val="Arial"/>
        <charset val="1"/>
      </rPr>
      <t>2.</t>
    </r>
    <r>
      <rPr>
        <sz val="9"/>
        <rFont val="Noto Sans CJK SC"/>
        <charset val="134"/>
      </rPr>
      <t xml:space="preserve">手术的随诊医疗（肠旋转不良术后） </t>
    </r>
    <r>
      <rPr>
        <sz val="9"/>
        <rFont val="Arial"/>
        <charset val="1"/>
      </rPr>
      <t>3.</t>
    </r>
    <r>
      <rPr>
        <sz val="9"/>
        <rFont val="Noto Sans CJK SC"/>
        <charset val="134"/>
      </rPr>
      <t>中度脱水｜肠粘连松解术</t>
    </r>
    <r>
      <rPr>
        <sz val="9"/>
        <rFont val="Arial"/>
        <charset val="1"/>
      </rPr>
      <t>+</t>
    </r>
    <r>
      <rPr>
        <sz val="9"/>
        <rFont val="Noto Sans CJK SC"/>
        <charset val="134"/>
      </rPr>
      <t>腹腔冲洗检查</t>
    </r>
  </si>
  <si>
    <t>2020-10-12</t>
  </si>
  <si>
    <r>
      <rPr>
        <sz val="9"/>
        <rFont val="Noto Sans CJK SC"/>
        <charset val="134"/>
      </rPr>
      <t>粘连性肠梗阻、手术后随诊检查</t>
    </r>
    <r>
      <rPr>
        <sz val="9"/>
        <rFont val="Arial"/>
        <charset val="1"/>
      </rPr>
      <t>(</t>
    </r>
    <r>
      <rPr>
        <sz val="9"/>
        <rFont val="Noto Sans CJK SC"/>
        <charset val="134"/>
      </rPr>
      <t>肠旋转不良术后</t>
    </r>
    <r>
      <rPr>
        <sz val="9"/>
        <rFont val="Arial"/>
        <charset val="1"/>
      </rPr>
      <t>)</t>
    </r>
    <r>
      <rPr>
        <sz val="9"/>
        <rFont val="Noto Sans CJK SC"/>
        <charset val="134"/>
      </rPr>
      <t>、脱水</t>
    </r>
  </si>
  <si>
    <t>腹腔镜下肠粘连松解术</t>
  </si>
  <si>
    <r>
      <rPr>
        <sz val="9"/>
        <rFont val="Arial"/>
        <charset val="1"/>
      </rPr>
      <t>1</t>
    </r>
    <r>
      <rPr>
        <sz val="9"/>
        <rFont val="Noto Sans CJK SC"/>
        <charset val="134"/>
      </rPr>
      <t xml:space="preserve">、麻醉满意后，患儿取仰卧位，常规消毒铺巾。留置导尿管。
</t>
    </r>
    <r>
      <rPr>
        <sz val="9"/>
        <rFont val="Arial"/>
        <charset val="1"/>
      </rPr>
      <t>2</t>
    </r>
    <r>
      <rPr>
        <sz val="9"/>
        <rFont val="Noto Sans CJK SC"/>
        <charset val="134"/>
      </rPr>
      <t>、取脐部两侧、左上腹及肝肋缘下各四处小切口，分别置入</t>
    </r>
    <r>
      <rPr>
        <sz val="9"/>
        <rFont val="Arial"/>
        <charset val="1"/>
      </rPr>
      <t>5mmTroca</t>
    </r>
    <r>
      <rPr>
        <sz val="9"/>
        <rFont val="Noto Sans CJK SC"/>
        <charset val="134"/>
      </rPr>
      <t>建立气腹，探查腹腔：见回盲部位于右中腹，结肠系膜及大网膜与十二指肠及空肠粘连，空肠起始部位于脊柱中线，中肠顺时针旋转</t>
    </r>
    <r>
      <rPr>
        <sz val="9"/>
        <rFont val="Arial"/>
        <charset val="1"/>
      </rPr>
      <t>360°</t>
    </r>
    <r>
      <rPr>
        <sz val="9"/>
        <rFont val="Noto Sans CJK SC"/>
        <charset val="134"/>
      </rPr>
      <t xml:space="preserve">，肠管血运良好。
</t>
    </r>
    <r>
      <rPr>
        <sz val="9"/>
        <rFont val="Arial"/>
        <charset val="1"/>
      </rPr>
      <t>3</t>
    </r>
    <r>
      <rPr>
        <sz val="9"/>
        <rFont val="Noto Sans CJK SC"/>
        <charset val="134"/>
      </rPr>
      <t xml:space="preserve">、自回盲部逆向探查肠管并完全松解回盲部，并继续向近端逐步松解小肠，直至十二指肠外侧，拉直十二指肠，并理顺小肠。
</t>
    </r>
    <r>
      <rPr>
        <sz val="9"/>
        <rFont val="Arial"/>
        <charset val="1"/>
      </rPr>
      <t>4</t>
    </r>
    <r>
      <rPr>
        <sz val="9"/>
        <rFont val="Noto Sans CJK SC"/>
        <charset val="134"/>
      </rPr>
      <t>、将回盲部及横结肠、升结肠置左侧腹部，十二指肠及空肠置右侧腹部。检查腹腔无出血。腹腔冲洗解除气腹，</t>
    </r>
    <r>
      <rPr>
        <sz val="9"/>
        <rFont val="Arial"/>
        <charset val="1"/>
      </rPr>
      <t>5-0</t>
    </r>
    <r>
      <rPr>
        <sz val="9"/>
        <rFont val="Noto Sans CJK SC"/>
        <charset val="134"/>
      </rPr>
      <t>恒生可吸收线缝合伤口皮下，组织胶粘合皮肤，手术顺利，术毕返病房</t>
    </r>
    <r>
      <rPr>
        <sz val="9"/>
        <rFont val="Arial"/>
        <charset val="1"/>
      </rPr>
      <t>.
5</t>
    </r>
    <r>
      <rPr>
        <sz val="9"/>
        <rFont val="Noto Sans CJK SC"/>
        <charset val="134"/>
      </rPr>
      <t>、术中出血约</t>
    </r>
    <r>
      <rPr>
        <sz val="9"/>
        <rFont val="Arial"/>
        <charset val="1"/>
      </rPr>
      <t>0.5ml</t>
    </r>
    <r>
      <rPr>
        <sz val="9"/>
        <rFont val="Noto Sans CJK SC"/>
        <charset val="134"/>
      </rPr>
      <t>，尿量未记。</t>
    </r>
  </si>
  <si>
    <r>
      <rPr>
        <sz val="9"/>
        <rFont val="Noto Sans CJK SC"/>
        <charset val="134"/>
      </rPr>
      <t>【锚定】</t>
    </r>
    <r>
      <rPr>
        <sz val="9"/>
        <rFont val="Arial"/>
        <charset val="1"/>
      </rPr>
      <t>2020-10-12</t>
    </r>
    <r>
      <rPr>
        <sz val="9"/>
        <rFont val="Noto Sans CJK SC"/>
        <charset val="134"/>
      </rPr>
      <t>｜粘连性肠梗阻、手术后随诊检查</t>
    </r>
    <r>
      <rPr>
        <sz val="9"/>
        <rFont val="Arial"/>
        <charset val="1"/>
      </rPr>
      <t>(</t>
    </r>
    <r>
      <rPr>
        <sz val="9"/>
        <rFont val="Noto Sans CJK SC"/>
        <charset val="134"/>
      </rPr>
      <t>肠旋转不良术后</t>
    </r>
    <r>
      <rPr>
        <sz val="9"/>
        <rFont val="Arial"/>
        <charset val="1"/>
      </rPr>
      <t>)</t>
    </r>
    <r>
      <rPr>
        <sz val="9"/>
        <rFont val="Noto Sans CJK SC"/>
        <charset val="134"/>
      </rPr>
      <t>、脱水｜腹腔镜下肠粘连松解术</t>
    </r>
  </si>
  <si>
    <t>2015-02-16</t>
  </si>
  <si>
    <t>先天性多发性肠闭锁，先天性肠旋转不良</t>
  </si>
  <si>
    <t>剖腹探查，肠粘连松解术</t>
  </si>
  <si>
    <r>
      <rPr>
        <sz val="9"/>
        <rFont val="Noto Sans CJK SC"/>
        <charset val="134"/>
      </rPr>
      <t>患儿取仰卧位，麻醉满意后常规消毒铺巾，取右上腹脐上</t>
    </r>
    <r>
      <rPr>
        <sz val="9"/>
        <rFont val="Arial"/>
        <charset val="1"/>
      </rPr>
      <t>2</t>
    </r>
    <r>
      <rPr>
        <sz val="9"/>
        <rFont val="Noto Sans CJK SC"/>
        <charset val="134"/>
      </rPr>
      <t>厘米做横行切口</t>
    </r>
    <r>
      <rPr>
        <sz val="9"/>
        <rFont val="Arial"/>
        <charset val="1"/>
      </rPr>
      <t>4</t>
    </r>
    <r>
      <rPr>
        <sz val="9"/>
        <rFont val="Noto Sans CJK SC"/>
        <charset val="134"/>
      </rPr>
      <t>厘米锐性分离逐层进腹，探查腹腔，未见渗液，右上腹可见高度扩张肠管，直径</t>
    </r>
    <r>
      <rPr>
        <sz val="9"/>
        <rFont val="Arial"/>
        <charset val="1"/>
      </rPr>
      <t>3</t>
    </r>
    <r>
      <rPr>
        <sz val="9"/>
        <rFont val="Noto Sans CJK SC"/>
        <charset val="134"/>
      </rPr>
      <t>厘米，壁薄透亮，右侧腹壁有索带与扩张肠管粘连。托出全部肠管置腹腔外探查，可见回盲部位于左上腹，肠系膜根部顺时针扭转</t>
    </r>
    <r>
      <rPr>
        <sz val="9"/>
        <rFont val="Arial"/>
        <charset val="1"/>
      </rPr>
      <t>360°</t>
    </r>
    <r>
      <rPr>
        <sz val="9"/>
        <rFont val="Noto Sans CJK SC"/>
        <charset val="134"/>
      </rPr>
      <t>，右侧腹扩张肠袢长约</t>
    </r>
    <r>
      <rPr>
        <sz val="9"/>
        <rFont val="Arial"/>
        <charset val="1"/>
      </rPr>
      <t>12</t>
    </r>
    <r>
      <rPr>
        <sz val="9"/>
        <rFont val="Noto Sans CJK SC"/>
        <charset val="134"/>
      </rPr>
      <t>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共约</t>
    </r>
    <r>
      <rPr>
        <sz val="9"/>
        <rFont val="Arial"/>
        <charset val="1"/>
      </rPr>
      <t>5</t>
    </r>
    <r>
      <rPr>
        <sz val="9"/>
        <rFont val="Noto Sans CJK SC"/>
        <charset val="134"/>
      </rPr>
      <t>段肠管闭锁，同时闭锁两侧系膜缺失，如同腊肠样，闭锁肠袢游离，整个小肠系膜发育差，呈单根血管供应。闭锁肠管发育差，肠内空虚，未见胎粪。结肠全位于左侧腹，发育差直径约</t>
    </r>
    <r>
      <rPr>
        <sz val="9"/>
        <rFont val="Arial"/>
        <charset val="1"/>
      </rPr>
      <t>0.5</t>
    </r>
    <r>
      <rPr>
        <sz val="9"/>
        <rFont val="Noto Sans CJK SC"/>
        <charset val="134"/>
      </rPr>
      <t>厘米。
    术中请患儿父亲至手术室了解术中情况，告知患儿全肠多发闭锁，且合并先天性肠旋转不良，全肠管及系膜发育差，预后不良。家长拒绝继续手术，要求放弃治疗，一切后果自负并签字在手术同意书。故减压扩张肠管，拉至十二指肠，空肠及部分小肠置于右侧腹，结肠及或回盲部置于左侧腹，逐层关腹。
    术中患儿循环较差，予以多巴胺维持，术后拔管患儿氧饱和度尚能维持正常。术中出血</t>
    </r>
    <r>
      <rPr>
        <sz val="9"/>
        <rFont val="Arial"/>
        <charset val="1"/>
      </rPr>
      <t>1</t>
    </r>
    <r>
      <rPr>
        <sz val="9"/>
        <rFont val="Noto Sans CJK SC"/>
        <charset val="134"/>
      </rPr>
      <t>毫升，未输血。</t>
    </r>
  </si>
  <si>
    <r>
      <rPr>
        <sz val="9"/>
        <rFont val="Noto Sans CJK SC"/>
        <charset val="134"/>
      </rPr>
      <t>【锚定】</t>
    </r>
    <r>
      <rPr>
        <sz val="9"/>
        <rFont val="Arial"/>
        <charset val="1"/>
      </rPr>
      <t>2015-02-16</t>
    </r>
    <r>
      <rPr>
        <sz val="9"/>
        <rFont val="Noto Sans CJK SC"/>
        <charset val="134"/>
      </rPr>
      <t>｜先天性多发性肠闭锁，先天性肠旋转不良｜剖腹探查，肠粘连松解术</t>
    </r>
  </si>
  <si>
    <t>2017-09-15</t>
  </si>
  <si>
    <t>先天性肠旋转不良</t>
  </si>
  <si>
    <r>
      <rPr>
        <sz val="9"/>
        <rFont val="Noto Sans CJK SC"/>
        <charset val="134"/>
      </rPr>
      <t>腹腔镜下肠粘连松解术</t>
    </r>
    <r>
      <rPr>
        <sz val="9"/>
        <rFont val="Arial"/>
        <charset val="1"/>
      </rPr>
      <t>,</t>
    </r>
    <r>
      <rPr>
        <sz val="9"/>
        <rFont val="Noto Sans CJK SC"/>
        <charset val="134"/>
      </rPr>
      <t>腹腔镜下双侧腹股沟斜疝修补术</t>
    </r>
    <r>
      <rPr>
        <sz val="9"/>
        <rFont val="Arial"/>
        <charset val="1"/>
      </rPr>
      <t>,</t>
    </r>
    <r>
      <rPr>
        <sz val="9"/>
        <rFont val="Noto Sans CJK SC"/>
        <charset val="134"/>
      </rPr>
      <t>腹腔镜下阑尾切除术</t>
    </r>
    <r>
      <rPr>
        <sz val="9"/>
        <rFont val="Arial"/>
        <charset val="1"/>
      </rPr>
      <t>,</t>
    </r>
    <r>
      <rPr>
        <sz val="9"/>
        <rFont val="Noto Sans CJK SC"/>
        <charset val="134"/>
      </rPr>
      <t>腹腔镜检查</t>
    </r>
  </si>
  <si>
    <r>
      <rPr>
        <sz val="9"/>
        <rFont val="Arial"/>
        <charset val="1"/>
      </rPr>
      <t>1</t>
    </r>
    <r>
      <rPr>
        <sz val="9"/>
        <rFont val="Noto Sans CJK SC"/>
        <charset val="134"/>
      </rPr>
      <t xml:space="preserve">、麻醉满意后，患儿取仰卧位，常规消毒铺巾。
</t>
    </r>
    <r>
      <rPr>
        <sz val="9"/>
        <rFont val="Arial"/>
        <charset val="1"/>
      </rPr>
      <t>2</t>
    </r>
    <r>
      <rPr>
        <sz val="9"/>
        <rFont val="Noto Sans CJK SC"/>
        <charset val="134"/>
      </rPr>
      <t>、取脐部两侧及肝肋缘下各三处小切口，分别置入</t>
    </r>
    <r>
      <rPr>
        <sz val="9"/>
        <rFont val="Arial"/>
        <charset val="1"/>
      </rPr>
      <t>3.5mm</t>
    </r>
    <r>
      <rPr>
        <sz val="9"/>
        <rFont val="Noto Sans CJK SC"/>
        <charset val="134"/>
      </rPr>
      <t>及</t>
    </r>
    <r>
      <rPr>
        <sz val="9"/>
        <rFont val="Arial"/>
        <charset val="1"/>
      </rPr>
      <t>5mmTroca</t>
    </r>
    <r>
      <rPr>
        <sz val="9"/>
        <rFont val="Noto Sans CJK SC"/>
        <charset val="134"/>
      </rPr>
      <t>建立气腹，探查腹腔：见十二指肠扩张，回盲部位于右上腹，空肠起始部位于脊柱中线，中肠顺时针旋转</t>
    </r>
    <r>
      <rPr>
        <sz val="9"/>
        <rFont val="Arial"/>
        <charset val="1"/>
      </rPr>
      <t>360°</t>
    </r>
    <r>
      <rPr>
        <sz val="9"/>
        <rFont val="Noto Sans CJK SC"/>
        <charset val="134"/>
      </rPr>
      <t>，十二指肠外侧可见</t>
    </r>
    <r>
      <rPr>
        <sz val="9"/>
        <rFont val="Arial"/>
        <charset val="1"/>
      </rPr>
      <t>ladd's</t>
    </r>
    <r>
      <rPr>
        <sz val="9"/>
        <rFont val="Noto Sans CJK SC"/>
        <charset val="134"/>
      </rPr>
      <t>板覆盖，升结肠与侧腹壁见</t>
    </r>
    <r>
      <rPr>
        <sz val="9"/>
        <rFont val="Arial"/>
        <charset val="1"/>
      </rPr>
      <t>ladd's</t>
    </r>
    <r>
      <rPr>
        <sz val="9"/>
        <rFont val="Noto Sans CJK SC"/>
        <charset val="134"/>
      </rPr>
      <t xml:space="preserve">板粘连。肠管血运良好。
</t>
    </r>
    <r>
      <rPr>
        <sz val="9"/>
        <rFont val="Arial"/>
        <charset val="1"/>
      </rPr>
      <t>3</t>
    </r>
    <r>
      <rPr>
        <sz val="9"/>
        <rFont val="Noto Sans CJK SC"/>
        <charset val="134"/>
      </rPr>
      <t>、游离阑尾系膜，距其根部</t>
    </r>
    <r>
      <rPr>
        <sz val="9"/>
        <rFont val="Arial"/>
        <charset val="1"/>
      </rPr>
      <t>0.5cm</t>
    </r>
    <r>
      <rPr>
        <sz val="9"/>
        <rFont val="Noto Sans CJK SC"/>
        <charset val="134"/>
      </rPr>
      <t>处</t>
    </r>
    <r>
      <rPr>
        <sz val="9"/>
        <rFont val="Arial"/>
        <charset val="1"/>
      </rPr>
      <t>2-0</t>
    </r>
    <r>
      <rPr>
        <sz val="9"/>
        <rFont val="Noto Sans CJK SC"/>
        <charset val="134"/>
      </rPr>
      <t>丝线结扎阑尾并予以切除，电灼残端。松解右侧腹</t>
    </r>
    <r>
      <rPr>
        <sz val="9"/>
        <rFont val="Arial"/>
        <charset val="1"/>
      </rPr>
      <t>ladd's</t>
    </r>
    <r>
      <rPr>
        <sz val="9"/>
        <rFont val="Noto Sans CJK SC"/>
        <charset val="134"/>
      </rPr>
      <t>板，完全松解回盲部，并继续向上松解升结肠。再松解十二指肠外侧</t>
    </r>
    <r>
      <rPr>
        <sz val="9"/>
        <rFont val="Arial"/>
        <charset val="1"/>
      </rPr>
      <t>ladd's</t>
    </r>
    <r>
      <rPr>
        <sz val="9"/>
        <rFont val="Noto Sans CJK SC"/>
        <charset val="134"/>
      </rPr>
      <t>板，拉直十二指肠，并继续向下松解空肠粘连，理顺小肠直至回盲部，系膜宽度约</t>
    </r>
    <r>
      <rPr>
        <sz val="9"/>
        <rFont val="Arial"/>
        <charset val="1"/>
      </rPr>
      <t>4cm</t>
    </r>
    <r>
      <rPr>
        <sz val="9"/>
        <rFont val="Noto Sans CJK SC"/>
        <charset val="134"/>
      </rPr>
      <t xml:space="preserve">。
</t>
    </r>
    <r>
      <rPr>
        <sz val="9"/>
        <rFont val="Arial"/>
        <charset val="1"/>
      </rPr>
      <t>4</t>
    </r>
    <r>
      <rPr>
        <sz val="9"/>
        <rFont val="Noto Sans CJK SC"/>
        <charset val="134"/>
      </rPr>
      <t>、将回盲部及横结肠、升结肠置左侧腹部，十二指肠及空肠置右侧腹部。检查腹腔无出血。注入术泰舒冲洗腹腔，海洛特预防肠粘连，解除气腹，可吸收线缝合伤口，组织胶粘合皮肤，手术顺利，术毕返病房</t>
    </r>
    <r>
      <rPr>
        <sz val="9"/>
        <rFont val="Arial"/>
        <charset val="1"/>
      </rPr>
      <t>.
5</t>
    </r>
    <r>
      <rPr>
        <sz val="9"/>
        <rFont val="Noto Sans CJK SC"/>
        <charset val="134"/>
      </rPr>
      <t>、术中出血约</t>
    </r>
    <r>
      <rPr>
        <sz val="9"/>
        <rFont val="Arial"/>
        <charset val="1"/>
      </rPr>
      <t>0.5ml</t>
    </r>
    <r>
      <rPr>
        <sz val="9"/>
        <rFont val="Noto Sans CJK SC"/>
        <charset val="134"/>
      </rPr>
      <t>，尿量未记。</t>
    </r>
  </si>
  <si>
    <r>
      <rPr>
        <sz val="9"/>
        <rFont val="Noto Sans CJK SC"/>
        <charset val="134"/>
      </rPr>
      <t>【锚定】</t>
    </r>
    <r>
      <rPr>
        <sz val="9"/>
        <rFont val="Arial"/>
        <charset val="1"/>
      </rPr>
      <t>2017-09-15</t>
    </r>
    <r>
      <rPr>
        <sz val="9"/>
        <rFont val="Noto Sans CJK SC"/>
        <charset val="134"/>
      </rPr>
      <t>｜先天性肠旋转不良｜腹腔镜下肠粘连松解术</t>
    </r>
    <r>
      <rPr>
        <sz val="9"/>
        <rFont val="Arial"/>
        <charset val="1"/>
      </rPr>
      <t>,</t>
    </r>
    <r>
      <rPr>
        <sz val="9"/>
        <rFont val="Noto Sans CJK SC"/>
        <charset val="134"/>
      </rPr>
      <t>腹腔镜下双侧腹股沟斜疝修补术</t>
    </r>
    <r>
      <rPr>
        <sz val="9"/>
        <rFont val="Arial"/>
        <charset val="1"/>
      </rPr>
      <t>,</t>
    </r>
    <r>
      <rPr>
        <sz val="9"/>
        <rFont val="Noto Sans CJK SC"/>
        <charset val="134"/>
      </rPr>
      <t>腹腔镜下阑尾切除术</t>
    </r>
    <r>
      <rPr>
        <sz val="9"/>
        <rFont val="Arial"/>
        <charset val="1"/>
      </rPr>
      <t>,</t>
    </r>
    <r>
      <rPr>
        <sz val="9"/>
        <rFont val="Noto Sans CJK SC"/>
        <charset val="134"/>
      </rPr>
      <t>腹腔镜检查</t>
    </r>
  </si>
  <si>
    <r>
      <rPr>
        <sz val="9"/>
        <rFont val="Arial"/>
        <charset val="1"/>
      </rPr>
      <t>US=</t>
    </r>
    <r>
      <rPr>
        <sz val="9"/>
        <rFont val="Noto Sans CJK SC"/>
        <charset val="134"/>
      </rPr>
      <t>未检出；</t>
    </r>
    <r>
      <rPr>
        <sz val="9"/>
        <rFont val="Arial"/>
        <charset val="1"/>
      </rPr>
      <t>UGI=</t>
    </r>
    <r>
      <rPr>
        <sz val="9"/>
        <rFont val="Noto Sans CJK SC"/>
        <charset val="134"/>
      </rPr>
      <t>检出</t>
    </r>
  </si>
  <si>
    <t>2021-12-22</t>
  </si>
  <si>
    <r>
      <rPr>
        <sz val="9"/>
        <rFont val="Arial"/>
        <charset val="1"/>
      </rPr>
      <t>1.</t>
    </r>
    <r>
      <rPr>
        <sz val="9"/>
        <rFont val="Noto Sans CJK SC"/>
        <charset val="134"/>
      </rPr>
      <t xml:space="preserve">新生儿肠梗阻 </t>
    </r>
    <r>
      <rPr>
        <sz val="9"/>
        <rFont val="Arial"/>
        <charset val="1"/>
      </rPr>
      <t>2.</t>
    </r>
    <r>
      <rPr>
        <sz val="9"/>
        <rFont val="Noto Sans CJK SC"/>
        <charset val="134"/>
      </rPr>
      <t>先天性肠旋转不良</t>
    </r>
    <r>
      <rPr>
        <sz val="9"/>
        <rFont val="Arial"/>
        <charset val="1"/>
      </rPr>
      <t>(</t>
    </r>
    <r>
      <rPr>
        <sz val="9"/>
        <rFont val="Noto Sans CJK SC"/>
        <charset val="134"/>
      </rPr>
      <t>术后</t>
    </r>
    <r>
      <rPr>
        <sz val="9"/>
        <rFont val="Arial"/>
        <charset val="1"/>
      </rPr>
      <t>) 3.</t>
    </r>
    <r>
      <rPr>
        <sz val="9"/>
        <rFont val="Noto Sans CJK SC"/>
        <charset val="134"/>
      </rPr>
      <t xml:space="preserve">新生儿坏死性小肠结肠炎后肠粘连、肠狭窄 </t>
    </r>
    <r>
      <rPr>
        <sz val="9"/>
        <rFont val="Arial"/>
        <charset val="1"/>
      </rPr>
      <t>4.</t>
    </r>
    <r>
      <rPr>
        <sz val="9"/>
        <rFont val="Noto Sans CJK SC"/>
        <charset val="134"/>
      </rPr>
      <t xml:space="preserve">脓毒血症 </t>
    </r>
    <r>
      <rPr>
        <sz val="9"/>
        <rFont val="Arial"/>
        <charset val="1"/>
      </rPr>
      <t>5.</t>
    </r>
    <r>
      <rPr>
        <sz val="9"/>
        <rFont val="Noto Sans CJK SC"/>
        <charset val="134"/>
      </rPr>
      <t xml:space="preserve">贫血 </t>
    </r>
    <r>
      <rPr>
        <sz val="9"/>
        <rFont val="Arial"/>
        <charset val="1"/>
      </rPr>
      <t>6.</t>
    </r>
    <r>
      <rPr>
        <sz val="9"/>
        <rFont val="Noto Sans CJK SC"/>
        <charset val="134"/>
      </rPr>
      <t>中央型房间隔缺损</t>
    </r>
    <r>
      <rPr>
        <sz val="9"/>
        <rFont val="Arial"/>
        <charset val="1"/>
      </rPr>
      <t>(</t>
    </r>
    <r>
      <rPr>
        <sz val="9"/>
        <rFont val="Noto Sans CJK SC"/>
        <charset val="134"/>
      </rPr>
      <t>卵圆孔型</t>
    </r>
    <r>
      <rPr>
        <sz val="9"/>
        <rFont val="Arial"/>
        <charset val="1"/>
      </rPr>
      <t>)</t>
    </r>
  </si>
  <si>
    <t>肠粘连松解术</t>
  </si>
  <si>
    <r>
      <rPr>
        <sz val="9"/>
        <rFont val="Noto Sans CJK SC"/>
        <charset val="134"/>
      </rPr>
      <t>１</t>
    </r>
    <r>
      <rPr>
        <sz val="9"/>
        <rFont val="Arial"/>
        <charset val="1"/>
      </rPr>
      <t>.</t>
    </r>
    <r>
      <rPr>
        <sz val="9"/>
        <rFont val="Noto Sans CJK SC"/>
        <charset val="134"/>
      </rPr>
      <t>麻醉满意后，常规消毒铺巾。
２</t>
    </r>
    <r>
      <rPr>
        <sz val="9"/>
        <rFont val="Arial"/>
        <charset val="1"/>
      </rPr>
      <t>.</t>
    </r>
    <r>
      <rPr>
        <sz val="9"/>
        <rFont val="Noto Sans CJK SC"/>
        <charset val="134"/>
      </rPr>
      <t>取右上腹原切口处进腹，分离皮下组织及肌层，进腹后可见巨大扩张肠袢与切口下黏连致密，肠壁菲薄，分离切口下肠管与腹壁粘连，肠袢直径约</t>
    </r>
    <r>
      <rPr>
        <sz val="9"/>
        <rFont val="Arial"/>
        <charset val="1"/>
      </rPr>
      <t>3</t>
    </r>
    <r>
      <rPr>
        <sz val="9"/>
        <rFont val="Noto Sans CJK SC"/>
        <charset val="134"/>
      </rPr>
      <t>厘米，肠内积气积液，肠管与肝下、胆囊以及胃壁、肠管间亦致密粘连严重，部分肠管间为瘢痕疙瘩样黏连，分离后肠壁有破裂并肠内容物外漏，修补破裂肠壁。粘连尤以左下腹黏连严重，肠管间粘连成团块状，黏连中间区可扪及疙瘩样团块，似坏死肠管所致的广泛肠间粘连，难以分离，同时该团块与上方腹壁、盆腔内膀胱、卵巢等粘连界限不清，虽在右侧腹分离出近端十二指肠和部分空肠约</t>
    </r>
    <r>
      <rPr>
        <sz val="9"/>
        <rFont val="Arial"/>
        <charset val="1"/>
      </rPr>
      <t>30</t>
    </r>
    <r>
      <rPr>
        <sz val="9"/>
        <rFont val="Noto Sans CJK SC"/>
        <charset val="134"/>
      </rPr>
      <t xml:space="preserve">厘米，但远端肠管因致密粘连致肠管屈曲呈角，形成梗阻，结肠不充气，结肠发育亦较差。
</t>
    </r>
    <r>
      <rPr>
        <sz val="9"/>
        <rFont val="Arial"/>
        <charset val="1"/>
      </rPr>
      <t>3</t>
    </r>
    <r>
      <rPr>
        <sz val="9"/>
        <rFont val="Noto Sans CJK SC"/>
        <charset val="134"/>
      </rPr>
      <t>、术中请患儿父亲至手术室了解患儿术中情况，告知患儿肠管因严重粘连，强行分离粘连容易造成肠管破溃穿孔，为挽救患儿生命需行近端小肠造瘘术，但术后有肠管再次粘连梗阻、长期腹泻营养不良等风险，预后较差。家长充分了解手术方案和疾病预后后要求终止手术，放弃治疗，一切后果自行负责（家长意见签字在手术同意书）。故修补肠管后顺序还纳肠管回腹腔，彻底止血，温生理用盐水冲洗腹腔，逐层关腹，术中出血约</t>
    </r>
    <r>
      <rPr>
        <sz val="9"/>
        <rFont val="Arial"/>
        <charset val="1"/>
      </rPr>
      <t>20ml</t>
    </r>
    <r>
      <rPr>
        <sz val="9"/>
        <rFont val="Noto Sans CJK SC"/>
        <charset val="134"/>
      </rPr>
      <t>，输浓缩红细胞</t>
    </r>
    <r>
      <rPr>
        <sz val="9"/>
        <rFont val="Arial"/>
        <charset val="1"/>
      </rPr>
      <t>0.5</t>
    </r>
    <r>
      <rPr>
        <sz val="9"/>
        <rFont val="Noto Sans CJK SC"/>
        <charset val="134"/>
      </rPr>
      <t>单位（编号：</t>
    </r>
    <r>
      <rPr>
        <sz val="9"/>
        <rFont val="Arial"/>
        <charset val="1"/>
      </rPr>
      <t>9000121220318</t>
    </r>
    <r>
      <rPr>
        <sz val="9"/>
        <rFont val="Noto Sans CJK SC"/>
        <charset val="134"/>
      </rPr>
      <t>），输血过程顺利无输血不良反应，术后拔除气管插管，安返病房。</t>
    </r>
  </si>
  <si>
    <r>
      <rPr>
        <sz val="9"/>
        <rFont val="Noto Sans CJK SC"/>
        <charset val="134"/>
      </rPr>
      <t>【锚定】</t>
    </r>
    <r>
      <rPr>
        <sz val="9"/>
        <rFont val="Arial"/>
        <charset val="1"/>
      </rPr>
      <t>2021-12-22</t>
    </r>
    <r>
      <rPr>
        <sz val="9"/>
        <rFont val="Noto Sans CJK SC"/>
        <charset val="134"/>
      </rPr>
      <t>｜</t>
    </r>
    <r>
      <rPr>
        <sz val="9"/>
        <rFont val="Arial"/>
        <charset val="1"/>
      </rPr>
      <t>1.</t>
    </r>
    <r>
      <rPr>
        <sz val="9"/>
        <rFont val="Noto Sans CJK SC"/>
        <charset val="134"/>
      </rPr>
      <t xml:space="preserve">新生儿肠梗阻 </t>
    </r>
    <r>
      <rPr>
        <sz val="9"/>
        <rFont val="Arial"/>
        <charset val="1"/>
      </rPr>
      <t>2.</t>
    </r>
    <r>
      <rPr>
        <sz val="9"/>
        <rFont val="Noto Sans CJK SC"/>
        <charset val="134"/>
      </rPr>
      <t>先天性肠旋转不良</t>
    </r>
    <r>
      <rPr>
        <sz val="9"/>
        <rFont val="Arial"/>
        <charset val="1"/>
      </rPr>
      <t>(</t>
    </r>
    <r>
      <rPr>
        <sz val="9"/>
        <rFont val="Noto Sans CJK SC"/>
        <charset val="134"/>
      </rPr>
      <t>术后</t>
    </r>
    <r>
      <rPr>
        <sz val="9"/>
        <rFont val="Arial"/>
        <charset val="1"/>
      </rPr>
      <t>) 3.</t>
    </r>
    <r>
      <rPr>
        <sz val="9"/>
        <rFont val="Noto Sans CJK SC"/>
        <charset val="134"/>
      </rPr>
      <t xml:space="preserve">新生儿坏死性小肠结肠炎后肠粘连、肠狭窄 </t>
    </r>
    <r>
      <rPr>
        <sz val="9"/>
        <rFont val="Arial"/>
        <charset val="1"/>
      </rPr>
      <t>4.</t>
    </r>
    <r>
      <rPr>
        <sz val="9"/>
        <rFont val="Noto Sans CJK SC"/>
        <charset val="134"/>
      </rPr>
      <t xml:space="preserve">脓毒血症 </t>
    </r>
    <r>
      <rPr>
        <sz val="9"/>
        <rFont val="Arial"/>
        <charset val="1"/>
      </rPr>
      <t>5.</t>
    </r>
    <r>
      <rPr>
        <sz val="9"/>
        <rFont val="Noto Sans CJK SC"/>
        <charset val="134"/>
      </rPr>
      <t xml:space="preserve">贫血 </t>
    </r>
    <r>
      <rPr>
        <sz val="9"/>
        <rFont val="Arial"/>
        <charset val="1"/>
      </rPr>
      <t>6.</t>
    </r>
    <r>
      <rPr>
        <sz val="9"/>
        <rFont val="Noto Sans CJK SC"/>
        <charset val="134"/>
      </rPr>
      <t>｜肠粘连松解术</t>
    </r>
  </si>
  <si>
    <r>
      <rPr>
        <sz val="9"/>
        <rFont val="Arial"/>
        <charset val="1"/>
      </rPr>
      <t>CT=</t>
    </r>
    <r>
      <rPr>
        <sz val="9"/>
        <rFont val="Noto Sans CJK SC"/>
        <charset val="134"/>
      </rPr>
      <t>检出；</t>
    </r>
    <r>
      <rPr>
        <sz val="9"/>
        <rFont val="Arial"/>
        <charset val="1"/>
      </rPr>
      <t>UGI=</t>
    </r>
    <r>
      <rPr>
        <sz val="9"/>
        <rFont val="Noto Sans CJK SC"/>
        <charset val="134"/>
      </rPr>
      <t>检出</t>
    </r>
  </si>
  <si>
    <t>2024-02-01</t>
  </si>
  <si>
    <t>左后外侧疝  左侧胸膜粘连  先天性肠旋转不良术后</t>
  </si>
  <si>
    <r>
      <rPr>
        <sz val="9"/>
        <rFont val="Noto Sans CJK SC"/>
        <charset val="134"/>
      </rPr>
      <t>胸腔镜下膈疝修补术</t>
    </r>
    <r>
      <rPr>
        <sz val="9"/>
        <rFont val="Arial"/>
        <charset val="1"/>
      </rPr>
      <t>+</t>
    </r>
    <r>
      <rPr>
        <sz val="9"/>
        <rFont val="Noto Sans CJK SC"/>
        <charset val="134"/>
      </rPr>
      <t>胸腔镜下胸膜粘连松解术</t>
    </r>
    <r>
      <rPr>
        <sz val="9"/>
        <rFont val="Arial"/>
        <charset val="1"/>
      </rPr>
      <t>+</t>
    </r>
    <r>
      <rPr>
        <sz val="9"/>
        <rFont val="Noto Sans CJK SC"/>
        <charset val="134"/>
      </rPr>
      <t>胸腔镜机器人援助操作</t>
    </r>
    <r>
      <rPr>
        <sz val="9"/>
        <rFont val="Arial"/>
        <charset val="1"/>
      </rPr>
      <t>+</t>
    </r>
    <r>
      <rPr>
        <sz val="9"/>
        <rFont val="Noto Sans CJK SC"/>
        <charset val="134"/>
      </rPr>
      <t>胸腔闭式引流术</t>
    </r>
  </si>
  <si>
    <r>
      <rPr>
        <sz val="9"/>
        <rFont val="Noto Sans CJK SC"/>
        <charset val="134"/>
      </rPr>
      <t>气管插管，麻醉满意后取右侧卧位，导尿，常规消毒、铺巾；今在全麻下行机器人援助胸腔镜膈疝还纳修补术，经左侧腋中线第</t>
    </r>
    <r>
      <rPr>
        <sz val="9"/>
        <rFont val="Arial"/>
        <charset val="1"/>
      </rPr>
      <t>4</t>
    </r>
    <r>
      <rPr>
        <sz val="9"/>
        <rFont val="Noto Sans CJK SC"/>
        <charset val="134"/>
      </rPr>
      <t>肋间、左腋后线第</t>
    </r>
    <r>
      <rPr>
        <sz val="9"/>
        <rFont val="Arial"/>
        <charset val="1"/>
      </rPr>
      <t>7</t>
    </r>
    <r>
      <rPr>
        <sz val="9"/>
        <rFont val="Noto Sans CJK SC"/>
        <charset val="134"/>
      </rPr>
      <t>肋间、左腋前线第</t>
    </r>
    <r>
      <rPr>
        <sz val="9"/>
        <rFont val="Arial"/>
        <charset val="1"/>
      </rPr>
      <t>6</t>
    </r>
    <r>
      <rPr>
        <sz val="9"/>
        <rFont val="Noto Sans CJK SC"/>
        <charset val="134"/>
      </rPr>
      <t>肋间分别作切口，左侧腋前线第</t>
    </r>
    <r>
      <rPr>
        <sz val="9"/>
        <rFont val="Arial"/>
        <charset val="1"/>
      </rPr>
      <t>7</t>
    </r>
    <r>
      <rPr>
        <sz val="9"/>
        <rFont val="Noto Sans CJK SC"/>
        <charset val="134"/>
      </rPr>
      <t>肋间作辅助切口，置入</t>
    </r>
    <r>
      <rPr>
        <sz val="9"/>
        <rFont val="Arial"/>
        <charset val="1"/>
      </rPr>
      <t>Trocar</t>
    </r>
    <r>
      <rPr>
        <sz val="9"/>
        <rFont val="Noto Sans CJK SC"/>
        <charset val="134"/>
      </rPr>
      <t>，建立</t>
    </r>
    <r>
      <rPr>
        <sz val="9"/>
        <rFont val="Arial"/>
        <charset val="1"/>
      </rPr>
      <t>CO2</t>
    </r>
    <r>
      <rPr>
        <sz val="9"/>
        <rFont val="Noto Sans CJK SC"/>
        <charset val="134"/>
      </rPr>
      <t>人工气胸，分别放入内窥镜手术控制系统及附件（</t>
    </r>
    <r>
      <rPr>
        <sz val="9"/>
        <rFont val="Arial"/>
        <charset val="1"/>
      </rPr>
      <t>CADIERE</t>
    </r>
    <r>
      <rPr>
        <sz val="9"/>
        <rFont val="Noto Sans CJK SC"/>
        <charset val="134"/>
      </rPr>
      <t>、永久电勾、</t>
    </r>
    <r>
      <rPr>
        <sz val="9"/>
        <rFont val="Arial"/>
        <charset val="1"/>
      </rPr>
      <t>MEGATM</t>
    </r>
    <r>
      <rPr>
        <sz val="9"/>
        <rFont val="Noto Sans CJK SC"/>
        <charset val="134"/>
      </rPr>
      <t>持针钳），探查为左后外侧疝（无疝囊），疝囊壁与大网膜组织粘连紧密，疝囊周围膈肌组织与下肺、胸壁粘连广泛，充分松解粘连，显露疝囊壁及网膜组织，游离出疝囊壁，探查疝孔直径</t>
    </r>
    <r>
      <rPr>
        <sz val="9"/>
        <rFont val="Arial"/>
        <charset val="1"/>
      </rPr>
      <t>5cm</t>
    </r>
    <r>
      <rPr>
        <sz val="9"/>
        <rFont val="Noto Sans CJK SC"/>
        <charset val="134"/>
      </rPr>
      <t>，将疝囊颈部前、后之膈肌组织用７号丝线间断缝合关闭疝囊口，检查无活动出血，麻醉师膨肺左肺复张可，拔出</t>
    </r>
    <r>
      <rPr>
        <sz val="9"/>
        <rFont val="Arial"/>
        <charset val="1"/>
      </rPr>
      <t>Trocar</t>
    </r>
    <r>
      <rPr>
        <sz val="9"/>
        <rFont val="Noto Sans CJK SC"/>
        <charset val="134"/>
      </rPr>
      <t>，经操作孔置入胸管一根，清点手术器械及敷料无误，缝合伤口。术毕返</t>
    </r>
    <r>
      <rPr>
        <sz val="9"/>
        <rFont val="Arial"/>
        <charset val="1"/>
      </rPr>
      <t>ICU</t>
    </r>
    <r>
      <rPr>
        <sz val="9"/>
        <rFont val="Noto Sans CJK SC"/>
        <charset val="134"/>
      </rPr>
      <t>。术中出血</t>
    </r>
    <r>
      <rPr>
        <sz val="9"/>
        <rFont val="Arial"/>
        <charset val="1"/>
      </rPr>
      <t>1ml</t>
    </r>
    <r>
      <rPr>
        <sz val="9"/>
        <rFont val="Noto Sans CJK SC"/>
        <charset val="134"/>
      </rPr>
      <t>，未输血。</t>
    </r>
  </si>
  <si>
    <r>
      <rPr>
        <sz val="9"/>
        <rFont val="Noto Sans CJK SC"/>
        <charset val="134"/>
      </rPr>
      <t>【锚定】</t>
    </r>
    <r>
      <rPr>
        <sz val="9"/>
        <rFont val="Arial"/>
        <charset val="1"/>
      </rPr>
      <t>2024-02-01</t>
    </r>
    <r>
      <rPr>
        <sz val="9"/>
        <rFont val="Noto Sans CJK SC"/>
        <charset val="134"/>
      </rPr>
      <t>｜左后外侧疝  左侧胸膜粘连  先天性肠旋转不良术后｜胸腔镜下膈疝修补术</t>
    </r>
    <r>
      <rPr>
        <sz val="9"/>
        <rFont val="Arial"/>
        <charset val="1"/>
      </rPr>
      <t>+</t>
    </r>
    <r>
      <rPr>
        <sz val="9"/>
        <rFont val="Noto Sans CJK SC"/>
        <charset val="134"/>
      </rPr>
      <t>胸腔镜下胸膜粘连松解术</t>
    </r>
    <r>
      <rPr>
        <sz val="9"/>
        <rFont val="Arial"/>
        <charset val="1"/>
      </rPr>
      <t>+</t>
    </r>
    <r>
      <rPr>
        <sz val="9"/>
        <rFont val="Noto Sans CJK SC"/>
        <charset val="134"/>
      </rPr>
      <t>胸腔镜机器人援助操作</t>
    </r>
    <r>
      <rPr>
        <sz val="9"/>
        <rFont val="Arial"/>
        <charset val="1"/>
      </rPr>
      <t>+</t>
    </r>
    <r>
      <rPr>
        <sz val="9"/>
        <rFont val="Noto Sans CJK SC"/>
        <charset val="134"/>
      </rPr>
      <t>胸腔闭式引流术</t>
    </r>
  </si>
  <si>
    <r>
      <rPr>
        <sz val="9"/>
        <rFont val="Arial"/>
        <charset val="1"/>
      </rPr>
      <t>US=</t>
    </r>
    <r>
      <rPr>
        <sz val="9"/>
        <rFont val="Noto Sans CJK SC"/>
        <charset val="134"/>
      </rPr>
      <t>未检出</t>
    </r>
  </si>
  <si>
    <r>
      <rPr>
        <sz val="9"/>
        <rFont val="Noto Sans CJK SC"/>
        <charset val="134"/>
      </rPr>
      <t>本次操作为内镜或活检，未开腹</t>
    </r>
    <r>
      <rPr>
        <sz val="9"/>
        <rFont val="Arial"/>
        <charset val="1"/>
      </rPr>
      <t>/</t>
    </r>
    <r>
      <rPr>
        <sz val="9"/>
        <rFont val="Noto Sans CJK SC"/>
        <charset val="134"/>
      </rPr>
      <t>腹腔镜探查</t>
    </r>
  </si>
  <si>
    <t>2026-03-05</t>
  </si>
  <si>
    <r>
      <rPr>
        <sz val="9"/>
        <rFont val="Noto Sans CJK SC"/>
        <charset val="134"/>
      </rPr>
      <t>腹痛</t>
    </r>
    <r>
      <rPr>
        <sz val="9"/>
        <rFont val="Arial"/>
        <charset val="1"/>
      </rPr>
      <t>,</t>
    </r>
    <r>
      <rPr>
        <sz val="9"/>
        <rFont val="Noto Sans CJK SC"/>
        <charset val="134"/>
      </rPr>
      <t>先天性肠旋转不良</t>
    </r>
    <r>
      <rPr>
        <sz val="9"/>
        <rFont val="Arial"/>
        <charset val="1"/>
      </rPr>
      <t>,</t>
    </r>
    <r>
      <rPr>
        <sz val="9"/>
        <rFont val="Noto Sans CJK SC"/>
        <charset val="134"/>
      </rPr>
      <t>便秘</t>
    </r>
    <r>
      <rPr>
        <sz val="9"/>
        <rFont val="Arial"/>
        <charset val="1"/>
      </rPr>
      <t>,(</t>
    </r>
    <r>
      <rPr>
        <sz val="9"/>
        <rFont val="Noto Sans CJK SC"/>
        <charset val="134"/>
      </rPr>
      <t>胃窦</t>
    </r>
    <r>
      <rPr>
        <sz val="9"/>
        <rFont val="Arial"/>
        <charset val="1"/>
      </rPr>
      <t>)</t>
    </r>
    <r>
      <rPr>
        <sz val="9"/>
        <rFont val="Noto Sans CJK SC"/>
        <charset val="134"/>
      </rPr>
      <t>糜烂性胃炎</t>
    </r>
    <r>
      <rPr>
        <sz val="9"/>
        <rFont val="Arial"/>
        <charset val="1"/>
      </rPr>
      <t>(I</t>
    </r>
    <r>
      <rPr>
        <sz val="9"/>
        <rFont val="Noto Sans CJK SC"/>
        <charset val="134"/>
      </rPr>
      <t>级</t>
    </r>
    <r>
      <rPr>
        <sz val="9"/>
        <rFont val="Arial"/>
        <charset val="1"/>
      </rPr>
      <t>)</t>
    </r>
  </si>
  <si>
    <r>
      <rPr>
        <sz val="9"/>
        <rFont val="Noto Sans CJK SC"/>
        <charset val="134"/>
      </rPr>
      <t>胃镜检查</t>
    </r>
    <r>
      <rPr>
        <sz val="9"/>
        <rFont val="Arial"/>
        <charset val="1"/>
      </rPr>
      <t>+</t>
    </r>
    <r>
      <rPr>
        <sz val="9"/>
        <rFont val="Noto Sans CJK SC"/>
        <charset val="134"/>
      </rPr>
      <t>电子结肠镜检查</t>
    </r>
  </si>
  <si>
    <r>
      <rPr>
        <sz val="9"/>
        <rFont val="Arial"/>
        <charset val="1"/>
      </rPr>
      <t>1.</t>
    </r>
    <r>
      <rPr>
        <sz val="9"/>
        <rFont val="Noto Sans CJK SC"/>
        <charset val="134"/>
      </rPr>
      <t>取左侧卧位，麻醉成功后经口置胃镜，检查可见胃体前壁一出血糜烂灶，胃底散在片状出血糜烂</t>
    </r>
    <r>
      <rPr>
        <sz val="9"/>
        <rFont val="Arial"/>
        <charset val="1"/>
      </rPr>
      <t>,</t>
    </r>
    <r>
      <rPr>
        <sz val="9"/>
        <rFont val="Noto Sans CJK SC"/>
        <charset val="134"/>
      </rPr>
      <t xml:space="preserve">胃窦可见粘膜红白相间、见条状样糜烂，覆盖陈旧血痂，十二指肠降部未抵达，余口咽，食管，十二指肠球部未见明显异常。
</t>
    </r>
    <r>
      <rPr>
        <sz val="9"/>
        <rFont val="Arial"/>
        <charset val="1"/>
      </rPr>
      <t>2.</t>
    </r>
    <r>
      <rPr>
        <sz val="9"/>
        <rFont val="Noto Sans CJK SC"/>
        <charset val="134"/>
      </rPr>
      <t>更换肠镜后，经肛门置入肠镜，循腔进镜至回肠末端，肠道清洁度波士顿评分：左半结肠</t>
    </r>
    <r>
      <rPr>
        <sz val="9"/>
        <rFont val="Arial"/>
        <charset val="1"/>
      </rPr>
      <t>3</t>
    </r>
    <r>
      <rPr>
        <sz val="9"/>
        <rFont val="Noto Sans CJK SC"/>
        <charset val="134"/>
      </rPr>
      <t>分，横结肠</t>
    </r>
    <r>
      <rPr>
        <sz val="9"/>
        <rFont val="Arial"/>
        <charset val="1"/>
      </rPr>
      <t>2</t>
    </r>
    <r>
      <rPr>
        <sz val="9"/>
        <rFont val="Noto Sans CJK SC"/>
        <charset val="134"/>
      </rPr>
      <t>分，右半结肠未抵达。缓慢螺旋退镜观察肠壁，检查结肠脾区、降结肠，乙状结肠及直肠未见明显异常。肠道清洁度一般，波士顿量表评分，右半结肠</t>
    </r>
    <r>
      <rPr>
        <sz val="9"/>
        <rFont val="Arial"/>
        <charset val="1"/>
      </rPr>
      <t>1</t>
    </r>
    <r>
      <rPr>
        <sz val="9"/>
        <rFont val="Noto Sans CJK SC"/>
        <charset val="134"/>
      </rPr>
      <t>分，横结肠</t>
    </r>
    <r>
      <rPr>
        <sz val="9"/>
        <rFont val="Arial"/>
        <charset val="1"/>
      </rPr>
      <t>1</t>
    </r>
    <r>
      <rPr>
        <sz val="9"/>
        <rFont val="Noto Sans CJK SC"/>
        <charset val="134"/>
      </rPr>
      <t>分，左半结肠</t>
    </r>
    <r>
      <rPr>
        <sz val="9"/>
        <rFont val="Arial"/>
        <charset val="1"/>
      </rPr>
      <t>1</t>
    </r>
    <r>
      <rPr>
        <sz val="9"/>
        <rFont val="Noto Sans CJK SC"/>
        <charset val="134"/>
      </rPr>
      <t>分。</t>
    </r>
  </si>
  <si>
    <r>
      <rPr>
        <sz val="9"/>
        <rFont val="Noto Sans CJK SC"/>
        <charset val="134"/>
      </rPr>
      <t>【锚定】</t>
    </r>
    <r>
      <rPr>
        <sz val="9"/>
        <rFont val="Arial"/>
        <charset val="1"/>
      </rPr>
      <t>2026-03-05</t>
    </r>
    <r>
      <rPr>
        <sz val="9"/>
        <rFont val="Noto Sans CJK SC"/>
        <charset val="134"/>
      </rPr>
      <t>｜腹痛</t>
    </r>
    <r>
      <rPr>
        <sz val="9"/>
        <rFont val="Arial"/>
        <charset val="1"/>
      </rPr>
      <t>,</t>
    </r>
    <r>
      <rPr>
        <sz val="9"/>
        <rFont val="Noto Sans CJK SC"/>
        <charset val="134"/>
      </rPr>
      <t>先天性肠旋转不良</t>
    </r>
    <r>
      <rPr>
        <sz val="9"/>
        <rFont val="Arial"/>
        <charset val="1"/>
      </rPr>
      <t>,</t>
    </r>
    <r>
      <rPr>
        <sz val="9"/>
        <rFont val="Noto Sans CJK SC"/>
        <charset val="134"/>
      </rPr>
      <t>便秘</t>
    </r>
    <r>
      <rPr>
        <sz val="9"/>
        <rFont val="Arial"/>
        <charset val="1"/>
      </rPr>
      <t>,(</t>
    </r>
    <r>
      <rPr>
        <sz val="9"/>
        <rFont val="Noto Sans CJK SC"/>
        <charset val="134"/>
      </rPr>
      <t>胃窦</t>
    </r>
    <r>
      <rPr>
        <sz val="9"/>
        <rFont val="Arial"/>
        <charset val="1"/>
      </rPr>
      <t>)</t>
    </r>
    <r>
      <rPr>
        <sz val="9"/>
        <rFont val="Noto Sans CJK SC"/>
        <charset val="134"/>
      </rPr>
      <t>糜烂性胃炎</t>
    </r>
    <r>
      <rPr>
        <sz val="9"/>
        <rFont val="Arial"/>
        <charset val="1"/>
      </rPr>
      <t>(I</t>
    </r>
    <r>
      <rPr>
        <sz val="9"/>
        <rFont val="Noto Sans CJK SC"/>
        <charset val="134"/>
      </rPr>
      <t>级</t>
    </r>
    <r>
      <rPr>
        <sz val="9"/>
        <rFont val="Arial"/>
        <charset val="1"/>
      </rPr>
      <t>)</t>
    </r>
    <r>
      <rPr>
        <sz val="9"/>
        <rFont val="Noto Sans CJK SC"/>
        <charset val="134"/>
      </rPr>
      <t>｜胃镜检查</t>
    </r>
    <r>
      <rPr>
        <sz val="9"/>
        <rFont val="Arial"/>
        <charset val="1"/>
      </rPr>
      <t>+</t>
    </r>
    <r>
      <rPr>
        <sz val="9"/>
        <rFont val="Noto Sans CJK SC"/>
        <charset val="134"/>
      </rPr>
      <t>电子结肠镜检查</t>
    </r>
  </si>
  <si>
    <t>2024-01-09</t>
  </si>
  <si>
    <r>
      <rPr>
        <sz val="9"/>
        <rFont val="Noto Sans CJK SC"/>
        <charset val="134"/>
      </rPr>
      <t>粘连性肠梗阻</t>
    </r>
    <r>
      <rPr>
        <sz val="9"/>
        <rFont val="Arial"/>
        <charset val="1"/>
      </rPr>
      <t>,</t>
    </r>
    <r>
      <rPr>
        <sz val="9"/>
        <rFont val="Noto Sans CJK SC"/>
        <charset val="134"/>
      </rPr>
      <t>十二指肠粘连</t>
    </r>
    <r>
      <rPr>
        <sz val="9"/>
        <rFont val="Arial"/>
        <charset val="1"/>
      </rPr>
      <t>,</t>
    </r>
    <r>
      <rPr>
        <sz val="9"/>
        <rFont val="Noto Sans CJK SC"/>
        <charset val="134"/>
      </rPr>
      <t>先天性肠旋转不良</t>
    </r>
    <r>
      <rPr>
        <sz val="9"/>
        <rFont val="Arial"/>
        <charset val="1"/>
      </rPr>
      <t>(</t>
    </r>
    <r>
      <rPr>
        <sz val="9"/>
        <rFont val="Noto Sans CJK SC"/>
        <charset val="134"/>
      </rPr>
      <t>术后</t>
    </r>
    <r>
      <rPr>
        <sz val="9"/>
        <rFont val="Arial"/>
        <charset val="1"/>
      </rPr>
      <t>),</t>
    </r>
    <r>
      <rPr>
        <sz val="9"/>
        <rFont val="Noto Sans CJK SC"/>
        <charset val="134"/>
      </rPr>
      <t>回肠术后</t>
    </r>
    <r>
      <rPr>
        <sz val="9"/>
        <rFont val="Arial"/>
        <charset val="1"/>
      </rPr>
      <t>(</t>
    </r>
    <r>
      <rPr>
        <sz val="9"/>
        <rFont val="Noto Sans CJK SC"/>
        <charset val="134"/>
      </rPr>
      <t>梅克尔憩室切除术后</t>
    </r>
    <r>
      <rPr>
        <sz val="9"/>
        <rFont val="Arial"/>
        <charset val="1"/>
      </rPr>
      <t>),</t>
    </r>
    <r>
      <rPr>
        <sz val="9"/>
        <rFont val="Noto Sans CJK SC"/>
        <charset val="134"/>
      </rPr>
      <t>皮疹</t>
    </r>
  </si>
  <si>
    <r>
      <rPr>
        <sz val="9"/>
        <rFont val="Noto Sans CJK SC"/>
        <charset val="134"/>
      </rPr>
      <t>肠粘连松解术</t>
    </r>
    <r>
      <rPr>
        <sz val="9"/>
        <rFont val="Arial"/>
        <charset val="1"/>
      </rPr>
      <t>+</t>
    </r>
    <r>
      <rPr>
        <sz val="9"/>
        <rFont val="Noto Sans CJK SC"/>
        <charset val="134"/>
      </rPr>
      <t>十二指肠成形术</t>
    </r>
    <r>
      <rPr>
        <sz val="9"/>
        <rFont val="Arial"/>
        <charset val="1"/>
      </rPr>
      <t>+</t>
    </r>
    <r>
      <rPr>
        <sz val="9"/>
        <rFont val="Noto Sans CJK SC"/>
        <charset val="134"/>
      </rPr>
      <t>小肠浆膜修补术</t>
    </r>
    <r>
      <rPr>
        <sz val="9"/>
        <rFont val="Arial"/>
        <charset val="1"/>
      </rPr>
      <t>+</t>
    </r>
    <r>
      <rPr>
        <sz val="9"/>
        <rFont val="Noto Sans CJK SC"/>
        <charset val="134"/>
      </rPr>
      <t>经腹盆腔穿刺引流术</t>
    </r>
  </si>
  <si>
    <r>
      <rPr>
        <sz val="9"/>
        <rFont val="Arial"/>
        <charset val="1"/>
      </rPr>
      <t>1</t>
    </r>
    <r>
      <rPr>
        <sz val="9"/>
        <rFont val="Noto Sans CJK SC"/>
        <charset val="134"/>
      </rPr>
      <t xml:space="preserve">．患儿取仰卧位，麻醉满意后，留置导尿，常规消毒铺巾。
</t>
    </r>
    <r>
      <rPr>
        <sz val="9"/>
        <rFont val="Arial"/>
        <charset val="1"/>
      </rPr>
      <t>2.</t>
    </r>
    <r>
      <rPr>
        <sz val="9"/>
        <rFont val="Noto Sans CJK SC"/>
        <charset val="134"/>
      </rPr>
      <t>取右中上腹横行切口约</t>
    </r>
    <r>
      <rPr>
        <sz val="9"/>
        <rFont val="Arial"/>
        <charset val="1"/>
      </rPr>
      <t>5cm</t>
    </r>
    <r>
      <rPr>
        <sz val="9"/>
        <rFont val="Noto Sans CJK SC"/>
        <charset val="134"/>
      </rPr>
      <t>，使用消融电极逐层分离皮下组织、肌层并充分止血，打开腹膜进入腹腔，探查见腹腔内大量黄色浑浊渗液约</t>
    </r>
    <r>
      <rPr>
        <sz val="9"/>
        <rFont val="Arial"/>
        <charset val="1"/>
      </rPr>
      <t>50ml</t>
    </r>
    <r>
      <rPr>
        <sz val="9"/>
        <rFont val="Noto Sans CJK SC"/>
        <charset val="134"/>
      </rPr>
      <t>，吸净积液，小肠间、肠管与腹膜、肠管与肝胆致密粘连，予以仔细松解粘连肠管，见距幽门</t>
    </r>
    <r>
      <rPr>
        <sz val="9"/>
        <rFont val="Arial"/>
        <charset val="1"/>
      </rPr>
      <t>50cm</t>
    </r>
    <r>
      <rPr>
        <sz val="9"/>
        <rFont val="Noto Sans CJK SC"/>
        <charset val="134"/>
      </rPr>
      <t>处肠管与十二指肠及肝下粘连致密并由纤维斑块包裹，粘连近端肠管扩张直径约</t>
    </r>
    <r>
      <rPr>
        <sz val="9"/>
        <rFont val="Arial"/>
        <charset val="1"/>
      </rPr>
      <t>3.5cm</t>
    </r>
    <r>
      <rPr>
        <sz val="9"/>
        <rFont val="Noto Sans CJK SC"/>
        <charset val="134"/>
      </rPr>
      <t>，粘连远端肠管萎瘪直径约</t>
    </r>
    <r>
      <rPr>
        <sz val="9"/>
        <rFont val="Arial"/>
        <charset val="1"/>
      </rPr>
      <t>1cm</t>
    </r>
    <r>
      <rPr>
        <sz val="9"/>
        <rFont val="Noto Sans CJK SC"/>
        <charset val="134"/>
      </rPr>
      <t>，仔细松解并切除粘连组织，标本送病检，其下可见十二指肠与肝脏及后腹膜致密粘连成角，远系膜侧有少许点状破溃，松解后修补成形十二指肠，修补破损空肠浆膜层，遂拖出全部肠管，肠管血运尚可，未见明显坏死，见空肠起始段位于脊柱偏右侧，回盲部位于左上腹，结肠萎瘪细小直径约</t>
    </r>
    <r>
      <rPr>
        <sz val="9"/>
        <rFont val="Arial"/>
        <charset val="1"/>
      </rPr>
      <t>0.8cm</t>
    </r>
    <r>
      <rPr>
        <sz val="9"/>
        <rFont val="Noto Sans CJK SC"/>
        <charset val="134"/>
      </rPr>
      <t>，拉直十二指肠，摊平小肠系膜，系膜宽度约</t>
    </r>
    <r>
      <rPr>
        <sz val="9"/>
        <rFont val="Arial"/>
        <charset val="1"/>
      </rPr>
      <t>4cm</t>
    </r>
    <r>
      <rPr>
        <sz val="9"/>
        <rFont val="Noto Sans CJK SC"/>
        <charset val="134"/>
      </rPr>
      <t>，距回盲部</t>
    </r>
    <r>
      <rPr>
        <sz val="9"/>
        <rFont val="Arial"/>
        <charset val="1"/>
      </rPr>
      <t>25cm</t>
    </r>
    <r>
      <rPr>
        <sz val="9"/>
        <rFont val="Noto Sans CJK SC"/>
        <charset val="134"/>
      </rPr>
      <t xml:space="preserve">肠管可见既往手术吻合器吻合肠管，阑尾已切除，予以荷包缝合包埋阑尾残桩，经胃管胃内注水注气并闭式减压检查全部肠管无漏气漏液，通过良好，倍绣胶外涂加固十二指肠及空肠修补处，将回盲部及横结肠、升结肠置左侧腹部，十二指肠及空肠置右侧腹部，遂余肠管顺次还纳入腹。
</t>
    </r>
    <r>
      <rPr>
        <sz val="9"/>
        <rFont val="Arial"/>
        <charset val="1"/>
      </rPr>
      <t>3.</t>
    </r>
    <r>
      <rPr>
        <sz val="9"/>
        <rFont val="Noto Sans CJK SC"/>
        <charset val="134"/>
      </rPr>
      <t xml:space="preserve">于右下腹置入硅胶引流管一根至直肠膀胱陷凹并固定，温盐水及术泰舒反复冲洗腹腔，留置海洛特一支于腹腔预防粘连，检查手术野无活动性出血，清点器械敷料无误后，吸收线连续缝合腹膜关闭腹腔，间断缝合肌层，吸收线连续缝合皮下组织并全层间断缝合伤口，组织胶粘合皮肤，包扎伤口。
</t>
    </r>
    <r>
      <rPr>
        <sz val="9"/>
        <rFont val="Arial"/>
        <charset val="1"/>
      </rPr>
      <t>4.</t>
    </r>
    <r>
      <rPr>
        <sz val="9"/>
        <rFont val="Noto Sans CJK SC"/>
        <charset val="134"/>
      </rPr>
      <t>手术顺利，术中出血约</t>
    </r>
    <r>
      <rPr>
        <sz val="9"/>
        <rFont val="Arial"/>
        <charset val="1"/>
      </rPr>
      <t>5ml</t>
    </r>
    <r>
      <rPr>
        <sz val="9"/>
        <rFont val="Noto Sans CJK SC"/>
        <charset val="134"/>
      </rPr>
      <t>，未输血，尿色清亮</t>
    </r>
    <r>
      <rPr>
        <sz val="9"/>
        <rFont val="Arial"/>
        <charset val="1"/>
      </rPr>
      <t>50ml</t>
    </r>
    <r>
      <rPr>
        <sz val="9"/>
        <rFont val="Noto Sans CJK SC"/>
        <charset val="134"/>
      </rPr>
      <t>，术毕安返病房。</t>
    </r>
  </si>
  <si>
    <r>
      <rPr>
        <sz val="9"/>
        <rFont val="Noto Sans CJK SC"/>
        <charset val="134"/>
      </rPr>
      <t>【锚定】</t>
    </r>
    <r>
      <rPr>
        <sz val="9"/>
        <rFont val="Arial"/>
        <charset val="1"/>
      </rPr>
      <t>2024-01-09</t>
    </r>
    <r>
      <rPr>
        <sz val="9"/>
        <rFont val="Noto Sans CJK SC"/>
        <charset val="134"/>
      </rPr>
      <t>｜粘连性肠梗阻</t>
    </r>
    <r>
      <rPr>
        <sz val="9"/>
        <rFont val="Arial"/>
        <charset val="1"/>
      </rPr>
      <t>,</t>
    </r>
    <r>
      <rPr>
        <sz val="9"/>
        <rFont val="Noto Sans CJK SC"/>
        <charset val="134"/>
      </rPr>
      <t>十二指肠粘连</t>
    </r>
    <r>
      <rPr>
        <sz val="9"/>
        <rFont val="Arial"/>
        <charset val="1"/>
      </rPr>
      <t>,</t>
    </r>
    <r>
      <rPr>
        <sz val="9"/>
        <rFont val="Noto Sans CJK SC"/>
        <charset val="134"/>
      </rPr>
      <t>先天性肠旋转不良</t>
    </r>
    <r>
      <rPr>
        <sz val="9"/>
        <rFont val="Arial"/>
        <charset val="1"/>
      </rPr>
      <t>(</t>
    </r>
    <r>
      <rPr>
        <sz val="9"/>
        <rFont val="Noto Sans CJK SC"/>
        <charset val="134"/>
      </rPr>
      <t>术后</t>
    </r>
    <r>
      <rPr>
        <sz val="9"/>
        <rFont val="Arial"/>
        <charset val="1"/>
      </rPr>
      <t>),</t>
    </r>
    <r>
      <rPr>
        <sz val="9"/>
        <rFont val="Noto Sans CJK SC"/>
        <charset val="134"/>
      </rPr>
      <t>回肠术后</t>
    </r>
    <r>
      <rPr>
        <sz val="9"/>
        <rFont val="Arial"/>
        <charset val="1"/>
      </rPr>
      <t>(</t>
    </r>
    <r>
      <rPr>
        <sz val="9"/>
        <rFont val="Noto Sans CJK SC"/>
        <charset val="134"/>
      </rPr>
      <t>梅克尔憩室切除术后</t>
    </r>
    <r>
      <rPr>
        <sz val="9"/>
        <rFont val="Arial"/>
        <charset val="1"/>
      </rPr>
      <t>),</t>
    </r>
    <r>
      <rPr>
        <sz val="9"/>
        <rFont val="Noto Sans CJK SC"/>
        <charset val="134"/>
      </rPr>
      <t>皮疹｜肠粘连松解术</t>
    </r>
    <r>
      <rPr>
        <sz val="9"/>
        <rFont val="Arial"/>
        <charset val="1"/>
      </rPr>
      <t>+</t>
    </r>
    <r>
      <rPr>
        <sz val="9"/>
        <rFont val="Noto Sans CJK SC"/>
        <charset val="134"/>
      </rPr>
      <t>十二指肠成形术</t>
    </r>
    <r>
      <rPr>
        <sz val="9"/>
        <rFont val="Arial"/>
        <charset val="1"/>
      </rPr>
      <t>+</t>
    </r>
    <r>
      <rPr>
        <sz val="9"/>
        <rFont val="Noto Sans CJK SC"/>
        <charset val="134"/>
      </rPr>
      <t>小肠浆膜修补术</t>
    </r>
    <r>
      <rPr>
        <sz val="9"/>
        <rFont val="Arial"/>
        <charset val="1"/>
      </rPr>
      <t>+</t>
    </r>
    <r>
      <rPr>
        <sz val="9"/>
        <rFont val="Noto Sans CJK SC"/>
        <charset val="134"/>
      </rPr>
      <t>经腹盆腔穿刺引流术</t>
    </r>
  </si>
  <si>
    <t>2024-04-19</t>
  </si>
  <si>
    <r>
      <rPr>
        <sz val="9"/>
        <rFont val="Arial"/>
        <charset val="1"/>
      </rPr>
      <t>1.</t>
    </r>
    <r>
      <rPr>
        <sz val="9"/>
        <rFont val="Noto Sans CJK SC"/>
        <charset val="134"/>
      </rPr>
      <t xml:space="preserve">不完全性肠梗阻 </t>
    </r>
    <r>
      <rPr>
        <sz val="9"/>
        <rFont val="Arial"/>
        <charset val="1"/>
      </rPr>
      <t>2.</t>
    </r>
    <r>
      <rPr>
        <sz val="9"/>
        <rFont val="Noto Sans CJK SC"/>
        <charset val="134"/>
      </rPr>
      <t xml:space="preserve">腹胀 </t>
    </r>
    <r>
      <rPr>
        <sz val="9"/>
        <rFont val="Arial"/>
        <charset val="1"/>
      </rPr>
      <t>3.</t>
    </r>
    <r>
      <rPr>
        <sz val="9"/>
        <rFont val="Noto Sans CJK SC"/>
        <charset val="134"/>
      </rPr>
      <t xml:space="preserve">凝血功能异常 </t>
    </r>
    <r>
      <rPr>
        <sz val="9"/>
        <rFont val="Arial"/>
        <charset val="1"/>
      </rPr>
      <t>4.</t>
    </r>
    <r>
      <rPr>
        <sz val="9"/>
        <rFont val="Noto Sans CJK SC"/>
        <charset val="134"/>
      </rPr>
      <t>手术的随诊医疗</t>
    </r>
    <r>
      <rPr>
        <sz val="9"/>
        <rFont val="Arial"/>
        <charset val="1"/>
      </rPr>
      <t>(</t>
    </r>
    <r>
      <rPr>
        <sz val="9"/>
        <rFont val="Noto Sans CJK SC"/>
        <charset val="134"/>
      </rPr>
      <t>肠旋转不良术后</t>
    </r>
    <r>
      <rPr>
        <sz val="9"/>
        <rFont val="Arial"/>
        <charset val="1"/>
      </rPr>
      <t>)</t>
    </r>
  </si>
  <si>
    <r>
      <rPr>
        <sz val="9"/>
        <rFont val="Noto Sans CJK SC"/>
        <charset val="134"/>
      </rPr>
      <t>直肠活检</t>
    </r>
    <r>
      <rPr>
        <sz val="9"/>
        <rFont val="Arial"/>
        <charset val="1"/>
      </rPr>
      <t>+</t>
    </r>
    <r>
      <rPr>
        <sz val="9"/>
        <rFont val="Noto Sans CJK SC"/>
        <charset val="134"/>
      </rPr>
      <t>电子结肠镜检查</t>
    </r>
  </si>
  <si>
    <r>
      <rPr>
        <sz val="9"/>
        <rFont val="Arial"/>
        <charset val="1"/>
      </rPr>
      <t>1</t>
    </r>
    <r>
      <rPr>
        <sz val="9"/>
        <rFont val="Noto Sans CJK SC"/>
        <charset val="134"/>
      </rPr>
      <t>、麻醉成功后，患儿取截石位，常规消毒铺无菌巾单。取直肠后壁距齿状线</t>
    </r>
    <r>
      <rPr>
        <sz val="9"/>
        <rFont val="Arial"/>
        <charset val="1"/>
      </rPr>
      <t>3cm</t>
    </r>
    <r>
      <rPr>
        <sz val="9"/>
        <rFont val="Noto Sans CJK SC"/>
        <charset val="134"/>
      </rPr>
      <t>直肠全层组织</t>
    </r>
    <r>
      <rPr>
        <sz val="9"/>
        <rFont val="Arial"/>
        <charset val="1"/>
      </rPr>
      <t>0.5x0.5cm</t>
    </r>
    <r>
      <rPr>
        <sz val="9"/>
        <rFont val="Noto Sans CJK SC"/>
        <charset val="134"/>
      </rPr>
      <t>一块送病检，取活检处以</t>
    </r>
    <r>
      <rPr>
        <sz val="9"/>
        <rFont val="Arial"/>
        <charset val="1"/>
      </rPr>
      <t>4</t>
    </r>
    <r>
      <rPr>
        <sz val="9"/>
        <rFont val="Noto Sans CJK SC"/>
        <charset val="134"/>
      </rPr>
      <t>－</t>
    </r>
    <r>
      <rPr>
        <sz val="9"/>
        <rFont val="Arial"/>
        <charset val="1"/>
      </rPr>
      <t>0</t>
    </r>
    <r>
      <rPr>
        <sz val="9"/>
        <rFont val="Noto Sans CJK SC"/>
        <charset val="134"/>
      </rPr>
      <t xml:space="preserve">不可吸收线缝合创面无活动性出血，无菌敷料包扎。术毕。
</t>
    </r>
    <r>
      <rPr>
        <sz val="9"/>
        <rFont val="Arial"/>
        <charset val="1"/>
      </rPr>
      <t>2</t>
    </r>
    <r>
      <rPr>
        <sz val="9"/>
        <rFont val="Noto Sans CJK SC"/>
        <charset val="134"/>
      </rPr>
      <t>、手术顺利，出血少于</t>
    </r>
    <r>
      <rPr>
        <sz val="9"/>
        <rFont val="Arial"/>
        <charset val="1"/>
      </rPr>
      <t>1ml</t>
    </r>
    <r>
      <rPr>
        <sz val="9"/>
        <rFont val="Noto Sans CJK SC"/>
        <charset val="134"/>
      </rPr>
      <t>，麻醉满意。术毕患儿安返病房。</t>
    </r>
  </si>
  <si>
    <r>
      <rPr>
        <sz val="9"/>
        <rFont val="Noto Sans CJK SC"/>
        <charset val="134"/>
      </rPr>
      <t>【锚定】</t>
    </r>
    <r>
      <rPr>
        <sz val="9"/>
        <rFont val="Arial"/>
        <charset val="1"/>
      </rPr>
      <t>2024-04-19</t>
    </r>
    <r>
      <rPr>
        <sz val="9"/>
        <rFont val="Noto Sans CJK SC"/>
        <charset val="134"/>
      </rPr>
      <t>｜</t>
    </r>
    <r>
      <rPr>
        <sz val="9"/>
        <rFont val="Arial"/>
        <charset val="1"/>
      </rPr>
      <t>1.</t>
    </r>
    <r>
      <rPr>
        <sz val="9"/>
        <rFont val="Noto Sans CJK SC"/>
        <charset val="134"/>
      </rPr>
      <t xml:space="preserve">不完全性肠梗阻 </t>
    </r>
    <r>
      <rPr>
        <sz val="9"/>
        <rFont val="Arial"/>
        <charset val="1"/>
      </rPr>
      <t>2.</t>
    </r>
    <r>
      <rPr>
        <sz val="9"/>
        <rFont val="Noto Sans CJK SC"/>
        <charset val="134"/>
      </rPr>
      <t xml:space="preserve">腹胀 </t>
    </r>
    <r>
      <rPr>
        <sz val="9"/>
        <rFont val="Arial"/>
        <charset val="1"/>
      </rPr>
      <t>3.</t>
    </r>
    <r>
      <rPr>
        <sz val="9"/>
        <rFont val="Noto Sans CJK SC"/>
        <charset val="134"/>
      </rPr>
      <t xml:space="preserve">凝血功能异常 </t>
    </r>
    <r>
      <rPr>
        <sz val="9"/>
        <rFont val="Arial"/>
        <charset val="1"/>
      </rPr>
      <t>4.</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｜直肠活检</t>
    </r>
    <r>
      <rPr>
        <sz val="9"/>
        <rFont val="Arial"/>
        <charset val="1"/>
      </rPr>
      <t>+</t>
    </r>
    <r>
      <rPr>
        <sz val="9"/>
        <rFont val="Noto Sans CJK SC"/>
        <charset val="134"/>
      </rPr>
      <t xml:space="preserve">电子结肠镜检查
</t>
    </r>
    <r>
      <rPr>
        <sz val="9"/>
        <rFont val="Arial"/>
        <charset val="1"/>
      </rPr>
      <t>2024-04-28</t>
    </r>
    <r>
      <rPr>
        <sz val="9"/>
        <rFont val="Noto Sans CJK SC"/>
        <charset val="134"/>
      </rPr>
      <t>｜</t>
    </r>
    <r>
      <rPr>
        <sz val="9"/>
        <rFont val="Arial"/>
        <charset val="1"/>
      </rPr>
      <t>1</t>
    </r>
    <r>
      <rPr>
        <sz val="9"/>
        <rFont val="Noto Sans CJK SC"/>
        <charset val="134"/>
      </rPr>
      <t xml:space="preserve">、先天性全结肠型巨结肠 </t>
    </r>
    <r>
      <rPr>
        <sz val="9"/>
        <rFont val="Arial"/>
        <charset val="1"/>
      </rPr>
      <t>2.</t>
    </r>
    <r>
      <rPr>
        <sz val="9"/>
        <rFont val="Noto Sans CJK SC"/>
        <charset val="134"/>
      </rPr>
      <t xml:space="preserve">肠粘连 </t>
    </r>
    <r>
      <rPr>
        <sz val="9"/>
        <rFont val="Arial"/>
        <charset val="1"/>
      </rPr>
      <t>3.</t>
    </r>
    <r>
      <rPr>
        <sz val="9"/>
        <rFont val="Noto Sans CJK SC"/>
        <charset val="134"/>
      </rPr>
      <t xml:space="preserve">凝血功能异常 </t>
    </r>
    <r>
      <rPr>
        <sz val="9"/>
        <rFont val="Arial"/>
        <charset val="1"/>
      </rPr>
      <t>4.</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｜腹腔镜巨结肠切除术</t>
    </r>
    <r>
      <rPr>
        <sz val="9"/>
        <rFont val="Arial"/>
        <charset val="1"/>
      </rPr>
      <t>+</t>
    </r>
    <r>
      <rPr>
        <sz val="9"/>
        <rFont val="Noto Sans CJK SC"/>
        <charset val="134"/>
      </rPr>
      <t>腹腔镜下肠粘连松解术</t>
    </r>
    <r>
      <rPr>
        <sz val="9"/>
        <rFont val="Arial"/>
        <charset val="1"/>
      </rPr>
      <t>+</t>
    </r>
    <r>
      <rPr>
        <sz val="9"/>
        <rFont val="Noto Sans CJK SC"/>
        <charset val="134"/>
      </rPr>
      <t>经腹盆腔穿刺引流术</t>
    </r>
  </si>
  <si>
    <t>2024-05-17</t>
  </si>
  <si>
    <r>
      <rPr>
        <sz val="9"/>
        <rFont val="Noto Sans CJK SC"/>
        <charset val="134"/>
      </rPr>
      <t>先天性巨结肠？</t>
    </r>
    <r>
      <rPr>
        <sz val="9"/>
        <rFont val="Arial"/>
        <charset val="1"/>
      </rPr>
      <t>,</t>
    </r>
    <r>
      <rPr>
        <sz val="9"/>
        <rFont val="Noto Sans CJK SC"/>
        <charset val="134"/>
      </rPr>
      <t>先天性肠旋转不良</t>
    </r>
    <r>
      <rPr>
        <sz val="9"/>
        <rFont val="Arial"/>
        <charset val="1"/>
      </rPr>
      <t>,</t>
    </r>
    <r>
      <rPr>
        <sz val="9"/>
        <rFont val="Noto Sans CJK SC"/>
        <charset val="134"/>
      </rPr>
      <t>新生儿结肠炎</t>
    </r>
    <r>
      <rPr>
        <sz val="9"/>
        <rFont val="Arial"/>
        <charset val="1"/>
      </rPr>
      <t>,</t>
    </r>
    <r>
      <rPr>
        <sz val="9"/>
        <rFont val="Noto Sans CJK SC"/>
        <charset val="134"/>
      </rPr>
      <t>新生儿肺炎</t>
    </r>
    <r>
      <rPr>
        <sz val="9"/>
        <rFont val="Arial"/>
        <charset val="1"/>
      </rPr>
      <t>,</t>
    </r>
    <r>
      <rPr>
        <sz val="9"/>
        <rFont val="Noto Sans CJK SC"/>
        <charset val="134"/>
      </rPr>
      <t>新生儿贫血</t>
    </r>
    <r>
      <rPr>
        <sz val="9"/>
        <rFont val="Arial"/>
        <charset val="1"/>
      </rPr>
      <t>,</t>
    </r>
    <r>
      <rPr>
        <sz val="9"/>
        <rFont val="Noto Sans CJK SC"/>
        <charset val="134"/>
      </rPr>
      <t>中央型房间隔缺损</t>
    </r>
    <r>
      <rPr>
        <sz val="9"/>
        <rFont val="Arial"/>
        <charset val="1"/>
      </rPr>
      <t>(</t>
    </r>
    <r>
      <rPr>
        <sz val="9"/>
        <rFont val="Noto Sans CJK SC"/>
        <charset val="134"/>
      </rPr>
      <t>卵圆孔型</t>
    </r>
    <r>
      <rPr>
        <sz val="9"/>
        <rFont val="Arial"/>
        <charset val="1"/>
      </rPr>
      <t>)</t>
    </r>
  </si>
  <si>
    <t>开放性大肠活组织检查</t>
  </si>
  <si>
    <r>
      <rPr>
        <sz val="9"/>
        <rFont val="Arial"/>
        <charset val="1"/>
      </rPr>
      <t>1.</t>
    </r>
    <r>
      <rPr>
        <sz val="9"/>
        <rFont val="Noto Sans CJK SC"/>
        <charset val="134"/>
      </rPr>
      <t xml:space="preserve">麻醉成功后，患儿取截石位，常规消毒铺无菌巾单。
</t>
    </r>
    <r>
      <rPr>
        <sz val="9"/>
        <rFont val="Arial"/>
        <charset val="1"/>
      </rPr>
      <t>2.</t>
    </r>
    <r>
      <rPr>
        <sz val="9"/>
        <rFont val="Noto Sans CJK SC"/>
        <charset val="134"/>
      </rPr>
      <t>取直肠后壁距肛门口</t>
    </r>
    <r>
      <rPr>
        <sz val="9"/>
        <rFont val="Arial"/>
        <charset val="1"/>
      </rPr>
      <t>4cm</t>
    </r>
    <r>
      <rPr>
        <sz val="9"/>
        <rFont val="Noto Sans CJK SC"/>
        <charset val="134"/>
      </rPr>
      <t>直肠全层组织</t>
    </r>
    <r>
      <rPr>
        <sz val="9"/>
        <rFont val="Arial"/>
        <charset val="1"/>
      </rPr>
      <t>0.5x0.5cm</t>
    </r>
    <r>
      <rPr>
        <sz val="9"/>
        <rFont val="Noto Sans CJK SC"/>
        <charset val="134"/>
      </rPr>
      <t>一块送病检，取活检处以</t>
    </r>
    <r>
      <rPr>
        <sz val="9"/>
        <rFont val="Arial"/>
        <charset val="1"/>
      </rPr>
      <t>4</t>
    </r>
    <r>
      <rPr>
        <sz val="9"/>
        <rFont val="Noto Sans CJK SC"/>
        <charset val="134"/>
      </rPr>
      <t>－</t>
    </r>
    <r>
      <rPr>
        <sz val="9"/>
        <rFont val="Arial"/>
        <charset val="1"/>
      </rPr>
      <t>0Dexon</t>
    </r>
    <r>
      <rPr>
        <sz val="9"/>
        <rFont val="Noto Sans CJK SC"/>
        <charset val="134"/>
      </rPr>
      <t xml:space="preserve">线缝合创面无活动性出血，凡士林炮筒塞肛，无菌敷料包扎。
</t>
    </r>
    <r>
      <rPr>
        <sz val="9"/>
        <rFont val="Arial"/>
        <charset val="1"/>
      </rPr>
      <t>3.</t>
    </r>
    <r>
      <rPr>
        <sz val="9"/>
        <rFont val="Noto Sans CJK SC"/>
        <charset val="134"/>
      </rPr>
      <t>手术顺利，术中出血约</t>
    </r>
    <r>
      <rPr>
        <sz val="9"/>
        <rFont val="Arial"/>
        <charset val="1"/>
      </rPr>
      <t>1ml</t>
    </r>
    <r>
      <rPr>
        <sz val="9"/>
        <rFont val="Noto Sans CJK SC"/>
        <charset val="134"/>
      </rPr>
      <t>，未输血，尿色清亮约</t>
    </r>
    <r>
      <rPr>
        <sz val="9"/>
        <rFont val="Arial"/>
        <charset val="1"/>
      </rPr>
      <t>15ml</t>
    </r>
    <r>
      <rPr>
        <sz val="9"/>
        <rFont val="Noto Sans CJK SC"/>
        <charset val="134"/>
      </rPr>
      <t>，术毕安返病房。</t>
    </r>
  </si>
  <si>
    <r>
      <rPr>
        <sz val="9"/>
        <rFont val="Noto Sans CJK SC"/>
        <charset val="134"/>
      </rPr>
      <t>【锚定】</t>
    </r>
    <r>
      <rPr>
        <sz val="9"/>
        <rFont val="Arial"/>
        <charset val="1"/>
      </rPr>
      <t>2024-05-17</t>
    </r>
    <r>
      <rPr>
        <sz val="9"/>
        <rFont val="Noto Sans CJK SC"/>
        <charset val="134"/>
      </rPr>
      <t>｜先天性巨结肠？</t>
    </r>
    <r>
      <rPr>
        <sz val="9"/>
        <rFont val="Arial"/>
        <charset val="1"/>
      </rPr>
      <t>,</t>
    </r>
    <r>
      <rPr>
        <sz val="9"/>
        <rFont val="Noto Sans CJK SC"/>
        <charset val="134"/>
      </rPr>
      <t>先天性肠旋转不良</t>
    </r>
    <r>
      <rPr>
        <sz val="9"/>
        <rFont val="Arial"/>
        <charset val="1"/>
      </rPr>
      <t>,</t>
    </r>
    <r>
      <rPr>
        <sz val="9"/>
        <rFont val="Noto Sans CJK SC"/>
        <charset val="134"/>
      </rPr>
      <t>新生儿结肠炎</t>
    </r>
    <r>
      <rPr>
        <sz val="9"/>
        <rFont val="Arial"/>
        <charset val="1"/>
      </rPr>
      <t>,</t>
    </r>
    <r>
      <rPr>
        <sz val="9"/>
        <rFont val="Noto Sans CJK SC"/>
        <charset val="134"/>
      </rPr>
      <t>新生儿肺炎</t>
    </r>
    <r>
      <rPr>
        <sz val="9"/>
        <rFont val="Arial"/>
        <charset val="1"/>
      </rPr>
      <t>,</t>
    </r>
    <r>
      <rPr>
        <sz val="9"/>
        <rFont val="Noto Sans CJK SC"/>
        <charset val="134"/>
      </rPr>
      <t>新生儿贫血</t>
    </r>
    <r>
      <rPr>
        <sz val="9"/>
        <rFont val="Arial"/>
        <charset val="1"/>
      </rPr>
      <t>,</t>
    </r>
    <r>
      <rPr>
        <sz val="9"/>
        <rFont val="Noto Sans CJK SC"/>
        <charset val="134"/>
      </rPr>
      <t>中央型房间隔缺损</t>
    </r>
    <r>
      <rPr>
        <sz val="9"/>
        <rFont val="Arial"/>
        <charset val="1"/>
      </rPr>
      <t>(</t>
    </r>
    <r>
      <rPr>
        <sz val="9"/>
        <rFont val="Noto Sans CJK SC"/>
        <charset val="134"/>
      </rPr>
      <t>卵圆孔型</t>
    </r>
    <r>
      <rPr>
        <sz val="9"/>
        <rFont val="Arial"/>
        <charset val="1"/>
      </rPr>
      <t>)</t>
    </r>
    <r>
      <rPr>
        <sz val="9"/>
        <rFont val="Noto Sans CJK SC"/>
        <charset val="134"/>
      </rPr>
      <t xml:space="preserve">｜开放性大肠活组织检查
</t>
    </r>
    <r>
      <rPr>
        <sz val="9"/>
        <rFont val="Arial"/>
        <charset val="1"/>
      </rPr>
      <t>2024-05-27</t>
    </r>
    <r>
      <rPr>
        <sz val="9"/>
        <rFont val="Noto Sans CJK SC"/>
        <charset val="134"/>
      </rPr>
      <t>｜先天性巨结肠常见型</t>
    </r>
    <r>
      <rPr>
        <sz val="9"/>
        <rFont val="Arial"/>
        <charset val="1"/>
      </rPr>
      <t>,</t>
    </r>
    <r>
      <rPr>
        <sz val="9"/>
        <rFont val="Noto Sans CJK SC"/>
        <charset val="134"/>
      </rPr>
      <t>先天性肠旋转不良</t>
    </r>
    <r>
      <rPr>
        <sz val="9"/>
        <rFont val="Arial"/>
        <charset val="1"/>
      </rPr>
      <t>,</t>
    </r>
    <r>
      <rPr>
        <sz val="9"/>
        <rFont val="Noto Sans CJK SC"/>
        <charset val="134"/>
      </rPr>
      <t>新生儿结肠炎</t>
    </r>
    <r>
      <rPr>
        <sz val="9"/>
        <rFont val="Arial"/>
        <charset val="1"/>
      </rPr>
      <t>,</t>
    </r>
    <r>
      <rPr>
        <sz val="9"/>
        <rFont val="Noto Sans CJK SC"/>
        <charset val="134"/>
      </rPr>
      <t>先天性肠粘连</t>
    </r>
    <r>
      <rPr>
        <sz val="9"/>
        <rFont val="Arial"/>
        <charset val="1"/>
      </rPr>
      <t>,</t>
    </r>
    <r>
      <rPr>
        <sz val="9"/>
        <rFont val="Noto Sans CJK SC"/>
        <charset val="134"/>
      </rPr>
      <t>新生儿肺炎</t>
    </r>
    <r>
      <rPr>
        <sz val="9"/>
        <rFont val="Arial"/>
        <charset val="1"/>
      </rPr>
      <t>,</t>
    </r>
    <r>
      <rPr>
        <sz val="9"/>
        <rFont val="Noto Sans CJK SC"/>
        <charset val="134"/>
      </rPr>
      <t>双侧腹股沟斜疝</t>
    </r>
    <r>
      <rPr>
        <sz val="9"/>
        <rFont val="Arial"/>
        <charset val="1"/>
      </rPr>
      <t>,</t>
    </r>
    <r>
      <rPr>
        <sz val="9"/>
        <rFont val="Noto Sans CJK SC"/>
        <charset val="134"/>
      </rPr>
      <t>新生儿贫血</t>
    </r>
    <r>
      <rPr>
        <sz val="9"/>
        <rFont val="Arial"/>
        <charset val="1"/>
      </rPr>
      <t>,</t>
    </r>
    <r>
      <rPr>
        <sz val="9"/>
        <rFont val="Noto Sans CJK SC"/>
        <charset val="134"/>
      </rPr>
      <t>中央型房间隔缺｜腹腔镜经肛门巨结肠根治术（改良</t>
    </r>
    <r>
      <rPr>
        <sz val="9"/>
        <rFont val="Arial"/>
        <charset val="1"/>
      </rPr>
      <t>Soave</t>
    </r>
    <r>
      <rPr>
        <sz val="9"/>
        <rFont val="Noto Sans CJK SC"/>
        <charset val="134"/>
      </rPr>
      <t>法）</t>
    </r>
    <r>
      <rPr>
        <sz val="9"/>
        <rFont val="Arial"/>
        <charset val="1"/>
      </rPr>
      <t>+</t>
    </r>
    <r>
      <rPr>
        <sz val="9"/>
        <rFont val="Noto Sans CJK SC"/>
        <charset val="134"/>
      </rPr>
      <t>腹腔镜下拉德手术（</t>
    </r>
    <r>
      <rPr>
        <sz val="9"/>
        <rFont val="Arial"/>
        <charset val="1"/>
      </rPr>
      <t>Ladd's</t>
    </r>
    <r>
      <rPr>
        <sz val="9"/>
        <rFont val="Noto Sans CJK SC"/>
        <charset val="134"/>
      </rPr>
      <t>）</t>
    </r>
    <r>
      <rPr>
        <sz val="9"/>
        <rFont val="Arial"/>
        <charset val="1"/>
      </rPr>
      <t>+</t>
    </r>
    <r>
      <rPr>
        <sz val="9"/>
        <rFont val="Noto Sans CJK SC"/>
        <charset val="134"/>
      </rPr>
      <t>腹腔镜下双侧腹股沟斜</t>
    </r>
  </si>
  <si>
    <t>2024-08-30</t>
  </si>
  <si>
    <t>十二指肠模式闭锁，肠粘连，肠旋转不良</t>
  </si>
  <si>
    <r>
      <rPr>
        <sz val="9"/>
        <rFont val="Noto Sans CJK SC"/>
        <charset val="134"/>
      </rPr>
      <t>十二指肠成形术</t>
    </r>
    <r>
      <rPr>
        <sz val="9"/>
        <rFont val="Arial"/>
        <charset val="1"/>
      </rPr>
      <t>+</t>
    </r>
    <r>
      <rPr>
        <sz val="9"/>
        <rFont val="Noto Sans CJK SC"/>
        <charset val="134"/>
      </rPr>
      <t>十二指肠病损切除术</t>
    </r>
    <r>
      <rPr>
        <sz val="9"/>
        <rFont val="Arial"/>
        <charset val="1"/>
      </rPr>
      <t>+</t>
    </r>
    <r>
      <rPr>
        <sz val="9"/>
        <rFont val="Noto Sans CJK SC"/>
        <charset val="134"/>
      </rPr>
      <t>小肠切开减压术</t>
    </r>
    <r>
      <rPr>
        <sz val="9"/>
        <rFont val="Arial"/>
        <charset val="1"/>
      </rPr>
      <t>+</t>
    </r>
    <r>
      <rPr>
        <sz val="9"/>
        <rFont val="Noto Sans CJK SC"/>
        <charset val="134"/>
      </rPr>
      <t>肠粘连松解术</t>
    </r>
    <r>
      <rPr>
        <sz val="9"/>
        <rFont val="Arial"/>
        <charset val="1"/>
      </rPr>
      <t>+</t>
    </r>
    <r>
      <rPr>
        <sz val="9"/>
        <rFont val="Noto Sans CJK SC"/>
        <charset val="134"/>
      </rPr>
      <t>附带阑尾切除</t>
    </r>
    <r>
      <rPr>
        <sz val="9"/>
        <rFont val="Arial"/>
        <charset val="1"/>
      </rPr>
      <t>+</t>
    </r>
    <r>
      <rPr>
        <sz val="9"/>
        <rFont val="Noto Sans CJK SC"/>
        <charset val="134"/>
      </rPr>
      <t>经腹盆腔穿刺引流术</t>
    </r>
  </si>
  <si>
    <r>
      <rPr>
        <sz val="9"/>
        <rFont val="Arial"/>
        <charset val="1"/>
      </rPr>
      <t>1.</t>
    </r>
    <r>
      <rPr>
        <sz val="9"/>
        <rFont val="Noto Sans CJK SC"/>
        <charset val="134"/>
      </rPr>
      <t>麻醉满意，取仰卧位，上尿管。探查至十二指肠降部，见十二指肠膨大，直径约</t>
    </r>
    <r>
      <rPr>
        <sz val="9"/>
        <rFont val="Arial"/>
        <charset val="1"/>
      </rPr>
      <t>1.5cm</t>
    </r>
    <r>
      <rPr>
        <sz val="9"/>
        <rFont val="Noto Sans CJK SC"/>
        <charset val="134"/>
      </rPr>
      <t>，远端肠管发育细小直径约</t>
    </r>
    <r>
      <rPr>
        <sz val="9"/>
        <rFont val="Arial"/>
        <charset val="1"/>
      </rPr>
      <t>3mm</t>
    </r>
    <r>
      <rPr>
        <sz val="9"/>
        <rFont val="Noto Sans CJK SC"/>
        <charset val="134"/>
      </rPr>
      <t xml:space="preserve">，近端空肠位于右侧腹部，回盲部位于左中下腹部，未见结肠框，部分结肠相互粘连，考虑肠旋转不良，予以松解粘连，附带切除阑尾。膜式闭锁远端小肠及结肠管内有胎便，质地较硬。
</t>
    </r>
    <r>
      <rPr>
        <sz val="9"/>
        <rFont val="Arial"/>
        <charset val="1"/>
      </rPr>
      <t>2.</t>
    </r>
    <r>
      <rPr>
        <sz val="9"/>
        <rFont val="Noto Sans CJK SC"/>
        <charset val="134"/>
      </rPr>
      <t>于膜式闭锁处用</t>
    </r>
    <r>
      <rPr>
        <sz val="9"/>
        <rFont val="Arial"/>
        <charset val="1"/>
      </rPr>
      <t>5ml</t>
    </r>
    <r>
      <rPr>
        <sz val="9"/>
        <rFont val="Noto Sans CJK SC"/>
        <charset val="134"/>
      </rPr>
      <t>斜面注射器插入针头，注入温生理盐水，使胎便软化，由于远端肠管均发育细小，位于小肠中部及结肠的胎便较硬，难以入结肠，予以小肠切开逆行减压胎便，结肠胎便仍难以排出，暂时予以保留，小肠内胎便完全排出，予以</t>
    </r>
    <r>
      <rPr>
        <sz val="9"/>
        <rFont val="Arial"/>
        <charset val="1"/>
      </rPr>
      <t>6-0</t>
    </r>
    <r>
      <rPr>
        <sz val="9"/>
        <rFont val="Noto Sans CJK SC"/>
        <charset val="134"/>
      </rPr>
      <t>线修补切开减压小肠</t>
    </r>
    <r>
      <rPr>
        <sz val="9"/>
        <rFont val="Arial"/>
        <charset val="1"/>
      </rPr>
      <t>5</t>
    </r>
    <r>
      <rPr>
        <sz val="9"/>
        <rFont val="Noto Sans CJK SC"/>
        <charset val="134"/>
      </rPr>
      <t>针，检查修补处通畅，无漏气。将十二指肠膜式闭锁处肠管背侧纵行切开，近端为大量绿色肠液，可见一隔膜，并有一直径约</t>
    </r>
    <r>
      <rPr>
        <sz val="9"/>
        <rFont val="Arial"/>
        <charset val="1"/>
      </rPr>
      <t>2mm</t>
    </r>
    <r>
      <rPr>
        <sz val="9"/>
        <rFont val="Noto Sans CJK SC"/>
        <charset val="134"/>
      </rPr>
      <t>瘘口，予以切除隔膜，送病检，肠管纵切横缝，检查吻合口通过顺利无漏气，猪源纤维蛋白粘合剂涂抹于两处吻合口。右下腹置腹腔引流管一根，将结肠还纳予下腹部</t>
    </r>
    <r>
      <rPr>
        <sz val="9"/>
        <rFont val="Arial"/>
        <charset val="1"/>
      </rPr>
      <t>,</t>
    </r>
    <r>
      <rPr>
        <sz val="9"/>
        <rFont val="Noto Sans CJK SC"/>
        <charset val="134"/>
      </rPr>
      <t xml:space="preserve">空肠还纳于右侧腹部，温盐水重新腹腔。
</t>
    </r>
    <r>
      <rPr>
        <sz val="9"/>
        <rFont val="Arial"/>
        <charset val="1"/>
      </rPr>
      <t>3.</t>
    </r>
    <r>
      <rPr>
        <sz val="9"/>
        <rFont val="Noto Sans CJK SC"/>
        <charset val="134"/>
      </rPr>
      <t>逐层关腹，术中出血约</t>
    </r>
    <r>
      <rPr>
        <sz val="9"/>
        <rFont val="Arial"/>
        <charset val="1"/>
      </rPr>
      <t>1ml</t>
    </r>
    <r>
      <rPr>
        <sz val="9"/>
        <rFont val="Noto Sans CJK SC"/>
        <charset val="134"/>
      </rPr>
      <t>，未输血，术毕，返病房。</t>
    </r>
  </si>
  <si>
    <r>
      <rPr>
        <sz val="9"/>
        <rFont val="Noto Sans CJK SC"/>
        <charset val="134"/>
      </rPr>
      <t>【锚定】</t>
    </r>
    <r>
      <rPr>
        <sz val="9"/>
        <rFont val="Arial"/>
        <charset val="1"/>
      </rPr>
      <t>2024-08-30</t>
    </r>
    <r>
      <rPr>
        <sz val="9"/>
        <rFont val="Noto Sans CJK SC"/>
        <charset val="134"/>
      </rPr>
      <t>｜十二指肠模式闭锁，肠粘连，肠旋转不良｜十二指肠成形术</t>
    </r>
    <r>
      <rPr>
        <sz val="9"/>
        <rFont val="Arial"/>
        <charset val="1"/>
      </rPr>
      <t>+</t>
    </r>
    <r>
      <rPr>
        <sz val="9"/>
        <rFont val="Noto Sans CJK SC"/>
        <charset val="134"/>
      </rPr>
      <t>十二指肠病损切除术</t>
    </r>
    <r>
      <rPr>
        <sz val="9"/>
        <rFont val="Arial"/>
        <charset val="1"/>
      </rPr>
      <t>+</t>
    </r>
    <r>
      <rPr>
        <sz val="9"/>
        <rFont val="Noto Sans CJK SC"/>
        <charset val="134"/>
      </rPr>
      <t>小肠切开减压术</t>
    </r>
    <r>
      <rPr>
        <sz val="9"/>
        <rFont val="Arial"/>
        <charset val="1"/>
      </rPr>
      <t>+</t>
    </r>
    <r>
      <rPr>
        <sz val="9"/>
        <rFont val="Noto Sans CJK SC"/>
        <charset val="134"/>
      </rPr>
      <t>肠粘连松解术</t>
    </r>
    <r>
      <rPr>
        <sz val="9"/>
        <rFont val="Arial"/>
        <charset val="1"/>
      </rPr>
      <t>+</t>
    </r>
    <r>
      <rPr>
        <sz val="9"/>
        <rFont val="Noto Sans CJK SC"/>
        <charset val="134"/>
      </rPr>
      <t>附带阑尾切除</t>
    </r>
    <r>
      <rPr>
        <sz val="9"/>
        <rFont val="Arial"/>
        <charset val="1"/>
      </rPr>
      <t>+</t>
    </r>
    <r>
      <rPr>
        <sz val="9"/>
        <rFont val="Noto Sans CJK SC"/>
        <charset val="134"/>
      </rPr>
      <t xml:space="preserve">经腹盆腔穿刺引流术
</t>
    </r>
    <r>
      <rPr>
        <sz val="9"/>
        <rFont val="Arial"/>
        <charset val="1"/>
      </rPr>
      <t>2024-09-11</t>
    </r>
    <r>
      <rPr>
        <sz val="9"/>
        <rFont val="Noto Sans CJK SC"/>
        <charset val="134"/>
      </rPr>
      <t>｜肠粘连肠梗阻、肠神经节细胞发育异常？｜十二指肠成形术</t>
    </r>
    <r>
      <rPr>
        <sz val="9"/>
        <rFont val="Arial"/>
        <charset val="1"/>
      </rPr>
      <t>+</t>
    </r>
    <r>
      <rPr>
        <sz val="9"/>
        <rFont val="Noto Sans CJK SC"/>
        <charset val="134"/>
      </rPr>
      <t>暂时性回肠造口术</t>
    </r>
    <r>
      <rPr>
        <sz val="9"/>
        <rFont val="Arial"/>
        <charset val="1"/>
      </rPr>
      <t>+</t>
    </r>
    <r>
      <rPr>
        <sz val="9"/>
        <rFont val="Noto Sans CJK SC"/>
        <charset val="134"/>
      </rPr>
      <t>结肠部分切除术</t>
    </r>
    <r>
      <rPr>
        <sz val="9"/>
        <rFont val="Arial"/>
        <charset val="1"/>
      </rPr>
      <t>+</t>
    </r>
    <r>
      <rPr>
        <sz val="9"/>
        <rFont val="Noto Sans CJK SC"/>
        <charset val="134"/>
      </rPr>
      <t>大肠</t>
    </r>
    <r>
      <rPr>
        <sz val="9"/>
        <rFont val="Arial"/>
        <charset val="1"/>
      </rPr>
      <t>-</t>
    </r>
    <r>
      <rPr>
        <sz val="9"/>
        <rFont val="Noto Sans CJK SC"/>
        <charset val="134"/>
      </rPr>
      <t>大肠吻合术</t>
    </r>
    <r>
      <rPr>
        <sz val="9"/>
        <rFont val="Arial"/>
        <charset val="1"/>
      </rPr>
      <t>+</t>
    </r>
    <r>
      <rPr>
        <sz val="9"/>
        <rFont val="Noto Sans CJK SC"/>
        <charset val="134"/>
      </rPr>
      <t>小肠病损切除术</t>
    </r>
    <r>
      <rPr>
        <sz val="9"/>
        <rFont val="Arial"/>
        <charset val="1"/>
      </rPr>
      <t>+</t>
    </r>
    <r>
      <rPr>
        <sz val="9"/>
        <rFont val="Noto Sans CJK SC"/>
        <charset val="134"/>
      </rPr>
      <t>空肠空肠吻合术</t>
    </r>
    <r>
      <rPr>
        <sz val="9"/>
        <rFont val="Arial"/>
        <charset val="1"/>
      </rPr>
      <t>+</t>
    </r>
  </si>
  <si>
    <r>
      <rPr>
        <sz val="9"/>
        <rFont val="Arial"/>
        <charset val="1"/>
      </rPr>
      <t>US=</t>
    </r>
    <r>
      <rPr>
        <sz val="9"/>
        <rFont val="Noto Sans CJK SC"/>
        <charset val="134"/>
      </rPr>
      <t>未检出；</t>
    </r>
    <r>
      <rPr>
        <sz val="9"/>
        <rFont val="Arial"/>
        <charset val="1"/>
      </rPr>
      <t>UGI=</t>
    </r>
    <r>
      <rPr>
        <sz val="9"/>
        <rFont val="Noto Sans CJK SC"/>
        <charset val="134"/>
      </rPr>
      <t>未检出</t>
    </r>
  </si>
  <si>
    <r>
      <rPr>
        <sz val="9"/>
        <rFont val="Noto Sans CJK SC"/>
        <charset val="134"/>
      </rPr>
      <t xml:space="preserve">有既往旋转不良手术史，本次为 </t>
    </r>
    <r>
      <rPr>
        <sz val="9"/>
        <rFont val="Arial"/>
        <charset val="1"/>
      </rPr>
      <t>Ladd/</t>
    </r>
    <r>
      <rPr>
        <sz val="9"/>
        <rFont val="Noto Sans CJK SC"/>
        <charset val="134"/>
      </rPr>
      <t>复位（复发或再次手术）；本次操作为内镜或活检，未开腹</t>
    </r>
    <r>
      <rPr>
        <sz val="9"/>
        <rFont val="Arial"/>
        <charset val="1"/>
      </rPr>
      <t>/</t>
    </r>
    <r>
      <rPr>
        <sz val="9"/>
        <rFont val="Noto Sans CJK SC"/>
        <charset val="134"/>
      </rPr>
      <t>腹腔镜探查</t>
    </r>
  </si>
  <si>
    <t>2023-07-06</t>
  </si>
  <si>
    <r>
      <rPr>
        <sz val="9"/>
        <rFont val="Arial"/>
        <charset val="1"/>
      </rPr>
      <t>1.</t>
    </r>
    <r>
      <rPr>
        <sz val="9"/>
        <rFont val="Noto Sans CJK SC"/>
        <charset val="134"/>
      </rPr>
      <t xml:space="preserve">新生儿肠梗阻 </t>
    </r>
    <r>
      <rPr>
        <sz val="9"/>
        <rFont val="Arial"/>
        <charset val="1"/>
      </rPr>
      <t>2.</t>
    </r>
    <r>
      <rPr>
        <sz val="9"/>
        <rFont val="Noto Sans CJK SC"/>
        <charset val="134"/>
      </rPr>
      <t>肠粘连伴肠梗阻；</t>
    </r>
    <r>
      <rPr>
        <sz val="9"/>
        <rFont val="Arial"/>
        <charset val="1"/>
      </rPr>
      <t>3.</t>
    </r>
    <r>
      <rPr>
        <sz val="9"/>
        <rFont val="Noto Sans CJK SC"/>
        <charset val="134"/>
      </rPr>
      <t>肠狭窄；</t>
    </r>
    <r>
      <rPr>
        <sz val="9"/>
        <rFont val="Arial"/>
        <charset val="1"/>
      </rPr>
      <t>4.</t>
    </r>
    <r>
      <rPr>
        <sz val="9"/>
        <rFont val="Noto Sans CJK SC"/>
        <charset val="134"/>
      </rPr>
      <t>新生儿高胆红素血症；</t>
    </r>
    <r>
      <rPr>
        <sz val="9"/>
        <rFont val="Arial"/>
        <charset val="1"/>
      </rPr>
      <t>5.</t>
    </r>
    <r>
      <rPr>
        <sz val="9"/>
        <rFont val="Noto Sans CJK SC"/>
        <charset val="134"/>
      </rPr>
      <t>肠扭转；</t>
    </r>
    <r>
      <rPr>
        <sz val="9"/>
        <rFont val="Arial"/>
        <charset val="1"/>
      </rPr>
      <t>6.</t>
    </r>
    <r>
      <rPr>
        <sz val="9"/>
        <rFont val="Noto Sans CJK SC"/>
        <charset val="134"/>
      </rPr>
      <t>新生儿呕吐；</t>
    </r>
    <r>
      <rPr>
        <sz val="9"/>
        <rFont val="Arial"/>
        <charset val="1"/>
      </rPr>
      <t>7.</t>
    </r>
    <r>
      <rPr>
        <sz val="9"/>
        <rFont val="Noto Sans CJK SC"/>
        <charset val="134"/>
      </rPr>
      <t>先天性肠旋转不良</t>
    </r>
    <r>
      <rPr>
        <sz val="9"/>
        <rFont val="Arial"/>
        <charset val="1"/>
      </rPr>
      <t>(</t>
    </r>
    <r>
      <rPr>
        <sz val="9"/>
        <rFont val="Noto Sans CJK SC"/>
        <charset val="134"/>
      </rPr>
      <t>术后</t>
    </r>
    <r>
      <rPr>
        <sz val="9"/>
        <rFont val="Arial"/>
        <charset val="1"/>
      </rPr>
      <t>)</t>
    </r>
    <r>
      <rPr>
        <sz val="9"/>
        <rFont val="Noto Sans CJK SC"/>
        <charset val="134"/>
      </rPr>
      <t>；</t>
    </r>
    <r>
      <rPr>
        <sz val="9"/>
        <rFont val="Arial"/>
        <charset val="1"/>
      </rPr>
      <t>8.</t>
    </r>
    <r>
      <rPr>
        <sz val="9"/>
        <rFont val="Noto Sans CJK SC"/>
        <charset val="134"/>
      </rPr>
      <t>副脾</t>
    </r>
  </si>
  <si>
    <r>
      <rPr>
        <sz val="9"/>
        <rFont val="Noto Sans CJK SC"/>
        <charset val="134"/>
      </rPr>
      <t>小肠部分切除术</t>
    </r>
    <r>
      <rPr>
        <sz val="9"/>
        <rFont val="Arial"/>
        <charset val="1"/>
      </rPr>
      <t>+</t>
    </r>
    <r>
      <rPr>
        <sz val="9"/>
        <rFont val="Noto Sans CJK SC"/>
        <charset val="134"/>
      </rPr>
      <t>小肠小肠吻合术</t>
    </r>
    <r>
      <rPr>
        <sz val="9"/>
        <rFont val="Arial"/>
        <charset val="1"/>
      </rPr>
      <t>+</t>
    </r>
    <r>
      <rPr>
        <sz val="9"/>
        <rFont val="Noto Sans CJK SC"/>
        <charset val="134"/>
      </rPr>
      <t>大肠扭转复位术</t>
    </r>
    <r>
      <rPr>
        <sz val="9"/>
        <rFont val="Arial"/>
        <charset val="1"/>
      </rPr>
      <t>+</t>
    </r>
    <r>
      <rPr>
        <sz val="9"/>
        <rFont val="Noto Sans CJK SC"/>
        <charset val="134"/>
      </rPr>
      <t>肠粘连松解术</t>
    </r>
    <r>
      <rPr>
        <sz val="9"/>
        <rFont val="Arial"/>
        <charset val="1"/>
      </rPr>
      <t>+</t>
    </r>
    <r>
      <rPr>
        <sz val="9"/>
        <rFont val="Noto Sans CJK SC"/>
        <charset val="134"/>
      </rPr>
      <t>副脾切除术</t>
    </r>
    <r>
      <rPr>
        <sz val="9"/>
        <rFont val="Arial"/>
        <charset val="1"/>
      </rPr>
      <t>+</t>
    </r>
    <r>
      <rPr>
        <sz val="9"/>
        <rFont val="Noto Sans CJK SC"/>
        <charset val="134"/>
      </rPr>
      <t>开放性大肠活组织检查</t>
    </r>
    <r>
      <rPr>
        <sz val="9"/>
        <rFont val="Arial"/>
        <charset val="1"/>
      </rPr>
      <t>+</t>
    </r>
    <r>
      <rPr>
        <sz val="9"/>
        <rFont val="Noto Sans CJK SC"/>
        <charset val="134"/>
      </rPr>
      <t>经腹盆腔穿刺引流术</t>
    </r>
  </si>
  <si>
    <r>
      <rPr>
        <sz val="9"/>
        <rFont val="Noto Sans CJK SC"/>
        <charset val="134"/>
      </rPr>
      <t>１</t>
    </r>
    <r>
      <rPr>
        <sz val="9"/>
        <rFont val="Arial"/>
        <charset val="1"/>
      </rPr>
      <t>.</t>
    </r>
    <r>
      <rPr>
        <sz val="9"/>
        <rFont val="Noto Sans CJK SC"/>
        <charset val="134"/>
      </rPr>
      <t>麻醉满意后，常规消毒铺巾。
２</t>
    </r>
    <r>
      <rPr>
        <sz val="9"/>
        <rFont val="Arial"/>
        <charset val="1"/>
      </rPr>
      <t>.</t>
    </r>
    <r>
      <rPr>
        <sz val="9"/>
        <rFont val="Noto Sans CJK SC"/>
        <charset val="134"/>
      </rPr>
      <t>取右上腹原切口处进腹，分离皮下组织及肌层，探查腹腔见腹腔广泛粘连成团，肠管界限不清，肠系膜根部狭窄，并扭转</t>
    </r>
    <r>
      <rPr>
        <sz val="9"/>
        <rFont val="Arial"/>
        <charset val="1"/>
      </rPr>
      <t>180°</t>
    </r>
    <r>
      <rPr>
        <sz val="9"/>
        <rFont val="Noto Sans CJK SC"/>
        <charset val="134"/>
      </rPr>
      <t>，复位扭转见空肠起始部与回盲部间系膜宽约</t>
    </r>
    <r>
      <rPr>
        <sz val="9"/>
        <rFont val="Arial"/>
        <charset val="1"/>
      </rPr>
      <t>2cm</t>
    </r>
    <r>
      <rPr>
        <sz val="9"/>
        <rFont val="Noto Sans CJK SC"/>
        <charset val="134"/>
      </rPr>
      <t>。距屈氏韧带</t>
    </r>
    <r>
      <rPr>
        <sz val="9"/>
        <rFont val="Arial"/>
        <charset val="1"/>
      </rPr>
      <t>70cm</t>
    </r>
    <r>
      <rPr>
        <sz val="9"/>
        <rFont val="Noto Sans CJK SC"/>
        <charset val="134"/>
      </rPr>
      <t>处小肠狭窄，肠气通过困难，近端小肠扩张，直径约</t>
    </r>
    <r>
      <rPr>
        <sz val="9"/>
        <rFont val="Arial"/>
        <charset val="1"/>
      </rPr>
      <t>2.5</t>
    </r>
    <r>
      <rPr>
        <sz val="9"/>
        <rFont val="Noto Sans CJK SC"/>
        <charset val="134"/>
      </rPr>
      <t>厘米，肠内积气积液，远端小肠细小，直径约</t>
    </r>
    <r>
      <rPr>
        <sz val="9"/>
        <rFont val="Arial"/>
        <charset val="1"/>
      </rPr>
      <t>8mm</t>
    </r>
    <r>
      <rPr>
        <sz val="9"/>
        <rFont val="Noto Sans CJK SC"/>
        <charset val="134"/>
      </rPr>
      <t>。小肠及系膜可见多处线结并局部粘连紧密，阑尾已切除，根部可见结扎线结。左侧腹脾脏下方可见较为游离副脾脏，大小约</t>
    </r>
    <r>
      <rPr>
        <sz val="9"/>
        <rFont val="Arial"/>
        <charset val="1"/>
      </rPr>
      <t>0.6x0.6cm</t>
    </r>
    <r>
      <rPr>
        <sz val="9"/>
        <rFont val="Noto Sans CJK SC"/>
        <charset val="134"/>
      </rPr>
      <t>。切除狭窄肠管及粘连紧密肠管约</t>
    </r>
    <r>
      <rPr>
        <sz val="9"/>
        <rFont val="Arial"/>
        <charset val="1"/>
      </rPr>
      <t>15cm</t>
    </r>
    <r>
      <rPr>
        <sz val="9"/>
        <rFont val="Noto Sans CJK SC"/>
        <charset val="134"/>
      </rPr>
      <t xml:space="preserve">，行空回肠端背吻合，检查吻合确切，修补肠系膜后按顺序还纳肠管回腹腔。右下腹留置负压引流管于盆腔。
</t>
    </r>
    <r>
      <rPr>
        <sz val="9"/>
        <rFont val="Arial"/>
        <charset val="1"/>
      </rPr>
      <t>3</t>
    </r>
    <r>
      <rPr>
        <sz val="9"/>
        <rFont val="Noto Sans CJK SC"/>
        <charset val="134"/>
      </rPr>
      <t>、温生理用盐水及流体止血膜冲洗腹腔，透明质酸钠凝胶</t>
    </r>
    <r>
      <rPr>
        <sz val="9"/>
        <rFont val="Arial"/>
        <charset val="1"/>
      </rPr>
      <t>2</t>
    </r>
    <r>
      <rPr>
        <sz val="9"/>
        <rFont val="Noto Sans CJK SC"/>
        <charset val="134"/>
      </rPr>
      <t>支于腹腔内保留防止粘连，逐层关腹，术中出血约</t>
    </r>
    <r>
      <rPr>
        <sz val="9"/>
        <rFont val="Arial"/>
        <charset val="1"/>
      </rPr>
      <t>2ml</t>
    </r>
    <r>
      <rPr>
        <sz val="9"/>
        <rFont val="Noto Sans CJK SC"/>
        <charset val="134"/>
      </rPr>
      <t>，未输血，术后拔除气管插管，安返病房。</t>
    </r>
  </si>
  <si>
    <r>
      <rPr>
        <sz val="9"/>
        <rFont val="Noto Sans CJK SC"/>
        <charset val="134"/>
      </rPr>
      <t>【锚定】</t>
    </r>
    <r>
      <rPr>
        <sz val="9"/>
        <rFont val="Arial"/>
        <charset val="1"/>
      </rPr>
      <t>2023-07-06</t>
    </r>
    <r>
      <rPr>
        <sz val="9"/>
        <rFont val="Noto Sans CJK SC"/>
        <charset val="134"/>
      </rPr>
      <t>｜</t>
    </r>
    <r>
      <rPr>
        <sz val="9"/>
        <rFont val="Arial"/>
        <charset val="1"/>
      </rPr>
      <t>1.</t>
    </r>
    <r>
      <rPr>
        <sz val="9"/>
        <rFont val="Noto Sans CJK SC"/>
        <charset val="134"/>
      </rPr>
      <t xml:space="preserve">新生儿肠梗阻 </t>
    </r>
    <r>
      <rPr>
        <sz val="9"/>
        <rFont val="Arial"/>
        <charset val="1"/>
      </rPr>
      <t>2.</t>
    </r>
    <r>
      <rPr>
        <sz val="9"/>
        <rFont val="Noto Sans CJK SC"/>
        <charset val="134"/>
      </rPr>
      <t>肠粘连伴肠梗阻；</t>
    </r>
    <r>
      <rPr>
        <sz val="9"/>
        <rFont val="Arial"/>
        <charset val="1"/>
      </rPr>
      <t>3.</t>
    </r>
    <r>
      <rPr>
        <sz val="9"/>
        <rFont val="Noto Sans CJK SC"/>
        <charset val="134"/>
      </rPr>
      <t>肠狭窄；</t>
    </r>
    <r>
      <rPr>
        <sz val="9"/>
        <rFont val="Arial"/>
        <charset val="1"/>
      </rPr>
      <t>4.</t>
    </r>
    <r>
      <rPr>
        <sz val="9"/>
        <rFont val="Noto Sans CJK SC"/>
        <charset val="134"/>
      </rPr>
      <t>新生儿高胆红素血症；</t>
    </r>
    <r>
      <rPr>
        <sz val="9"/>
        <rFont val="Arial"/>
        <charset val="1"/>
      </rPr>
      <t>5.</t>
    </r>
    <r>
      <rPr>
        <sz val="9"/>
        <rFont val="Noto Sans CJK SC"/>
        <charset val="134"/>
      </rPr>
      <t>肠扭转；</t>
    </r>
    <r>
      <rPr>
        <sz val="9"/>
        <rFont val="Arial"/>
        <charset val="1"/>
      </rPr>
      <t>6.</t>
    </r>
    <r>
      <rPr>
        <sz val="9"/>
        <rFont val="Noto Sans CJK SC"/>
        <charset val="134"/>
      </rPr>
      <t>新生儿呕吐；</t>
    </r>
    <r>
      <rPr>
        <sz val="9"/>
        <rFont val="Arial"/>
        <charset val="1"/>
      </rPr>
      <t>7.</t>
    </r>
    <r>
      <rPr>
        <sz val="9"/>
        <rFont val="Noto Sans CJK SC"/>
        <charset val="134"/>
      </rPr>
      <t>先天性肠旋转不｜小肠部分切除术</t>
    </r>
    <r>
      <rPr>
        <sz val="9"/>
        <rFont val="Arial"/>
        <charset val="1"/>
      </rPr>
      <t>+</t>
    </r>
    <r>
      <rPr>
        <sz val="9"/>
        <rFont val="Noto Sans CJK SC"/>
        <charset val="134"/>
      </rPr>
      <t>小肠小肠吻合术</t>
    </r>
    <r>
      <rPr>
        <sz val="9"/>
        <rFont val="Arial"/>
        <charset val="1"/>
      </rPr>
      <t>+</t>
    </r>
    <r>
      <rPr>
        <sz val="9"/>
        <rFont val="Noto Sans CJK SC"/>
        <charset val="134"/>
      </rPr>
      <t>大肠扭转复位术</t>
    </r>
    <r>
      <rPr>
        <sz val="9"/>
        <rFont val="Arial"/>
        <charset val="1"/>
      </rPr>
      <t>+</t>
    </r>
    <r>
      <rPr>
        <sz val="9"/>
        <rFont val="Noto Sans CJK SC"/>
        <charset val="134"/>
      </rPr>
      <t>肠粘连松解术</t>
    </r>
    <r>
      <rPr>
        <sz val="9"/>
        <rFont val="Arial"/>
        <charset val="1"/>
      </rPr>
      <t>+</t>
    </r>
    <r>
      <rPr>
        <sz val="9"/>
        <rFont val="Noto Sans CJK SC"/>
        <charset val="134"/>
      </rPr>
      <t>副脾切除术</t>
    </r>
    <r>
      <rPr>
        <sz val="9"/>
        <rFont val="Arial"/>
        <charset val="1"/>
      </rPr>
      <t>+</t>
    </r>
    <r>
      <rPr>
        <sz val="9"/>
        <rFont val="Noto Sans CJK SC"/>
        <charset val="134"/>
      </rPr>
      <t>开放性大肠活组织检查</t>
    </r>
    <r>
      <rPr>
        <sz val="9"/>
        <rFont val="Arial"/>
        <charset val="1"/>
      </rPr>
      <t>+</t>
    </r>
    <r>
      <rPr>
        <sz val="9"/>
        <rFont val="Noto Sans CJK SC"/>
        <charset val="134"/>
      </rPr>
      <t>经腹</t>
    </r>
  </si>
  <si>
    <r>
      <rPr>
        <sz val="9"/>
        <rFont val="Arial"/>
        <charset val="1"/>
      </rPr>
      <t>CT=</t>
    </r>
    <r>
      <rPr>
        <sz val="9"/>
        <rFont val="Noto Sans CJK SC"/>
        <charset val="134"/>
      </rPr>
      <t>未检出；</t>
    </r>
    <r>
      <rPr>
        <sz val="9"/>
        <rFont val="Arial"/>
        <charset val="1"/>
      </rPr>
      <t>UGI=</t>
    </r>
    <r>
      <rPr>
        <sz val="9"/>
        <rFont val="Noto Sans CJK SC"/>
        <charset val="134"/>
      </rPr>
      <t>未检出</t>
    </r>
  </si>
  <si>
    <r>
      <rPr>
        <sz val="9"/>
        <rFont val="Noto Sans CJK SC"/>
        <charset val="134"/>
      </rPr>
      <t xml:space="preserve">有既往旋转不良手术史，本次为 </t>
    </r>
    <r>
      <rPr>
        <sz val="9"/>
        <rFont val="Arial"/>
        <charset val="1"/>
      </rPr>
      <t>Ladd/</t>
    </r>
    <r>
      <rPr>
        <sz val="9"/>
        <rFont val="Noto Sans CJK SC"/>
        <charset val="134"/>
      </rPr>
      <t>复位（复发或再次手术）</t>
    </r>
  </si>
  <si>
    <t>2023-10-24</t>
  </si>
  <si>
    <r>
      <rPr>
        <sz val="9"/>
        <rFont val="Noto Sans CJK SC"/>
        <charset val="134"/>
      </rPr>
      <t>先天性肠旋转不良</t>
    </r>
    <r>
      <rPr>
        <sz val="9"/>
        <rFont val="Arial"/>
        <charset val="1"/>
      </rPr>
      <t>(</t>
    </r>
    <r>
      <rPr>
        <sz val="9"/>
        <rFont val="Noto Sans CJK SC"/>
        <charset val="134"/>
      </rPr>
      <t>复发</t>
    </r>
    <r>
      <rPr>
        <sz val="9"/>
        <rFont val="Arial"/>
        <charset val="1"/>
      </rPr>
      <t>),</t>
    </r>
    <r>
      <rPr>
        <sz val="9"/>
        <rFont val="Noto Sans CJK SC"/>
        <charset val="134"/>
      </rPr>
      <t>粘连性肠梗阻</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</si>
  <si>
    <r>
      <rPr>
        <sz val="9"/>
        <rFont val="Noto Sans CJK SC"/>
        <charset val="134"/>
      </rPr>
      <t>腹腔镜下拉德手术（</t>
    </r>
    <r>
      <rPr>
        <sz val="9"/>
        <rFont val="Arial"/>
        <charset val="1"/>
      </rPr>
      <t>Ladd's</t>
    </r>
    <r>
      <rPr>
        <sz val="9"/>
        <rFont val="Noto Sans CJK SC"/>
        <charset val="134"/>
      </rPr>
      <t>）</t>
    </r>
    <r>
      <rPr>
        <sz val="9"/>
        <rFont val="Arial"/>
        <charset val="1"/>
      </rPr>
      <t>+</t>
    </r>
    <r>
      <rPr>
        <sz val="9"/>
        <rFont val="Noto Sans CJK SC"/>
        <charset val="134"/>
      </rPr>
      <t>腹腔镜下肠粘连松解术</t>
    </r>
    <r>
      <rPr>
        <sz val="9"/>
        <rFont val="Arial"/>
        <charset val="1"/>
      </rPr>
      <t>+</t>
    </r>
    <r>
      <rPr>
        <sz val="9"/>
        <rFont val="Noto Sans CJK SC"/>
        <charset val="134"/>
      </rPr>
      <t>经腹盆腔穿刺引流术</t>
    </r>
  </si>
  <si>
    <r>
      <rPr>
        <sz val="9"/>
        <rFont val="Arial"/>
        <charset val="1"/>
      </rPr>
      <t>1</t>
    </r>
    <r>
      <rPr>
        <sz val="9"/>
        <rFont val="Noto Sans CJK SC"/>
        <charset val="134"/>
      </rPr>
      <t xml:space="preserve">、麻醉满意后，患儿取仰卧位，上尿管，常规消毒铺巾。
</t>
    </r>
    <r>
      <rPr>
        <sz val="9"/>
        <rFont val="Arial"/>
        <charset val="1"/>
      </rPr>
      <t>2</t>
    </r>
    <r>
      <rPr>
        <sz val="9"/>
        <rFont val="Noto Sans CJK SC"/>
        <charset val="134"/>
      </rPr>
      <t>、取脐部左侧、平脐左右两侧原切口三处小切口，分别置入</t>
    </r>
    <r>
      <rPr>
        <sz val="9"/>
        <rFont val="Arial"/>
        <charset val="1"/>
      </rPr>
      <t>5mmTroca</t>
    </r>
    <r>
      <rPr>
        <sz val="9"/>
        <rFont val="Noto Sans CJK SC"/>
        <charset val="134"/>
      </rPr>
      <t>建立气腹，探查腹腔：见结肠与右侧腹前壁粘连，回盲部位于右上腹，阑尾已切除，空肠起始部位于脊柱中线，中肠顺时针旋转</t>
    </r>
    <r>
      <rPr>
        <sz val="9"/>
        <rFont val="Arial"/>
        <charset val="1"/>
      </rPr>
      <t>360°</t>
    </r>
    <r>
      <rPr>
        <sz val="9"/>
        <rFont val="Noto Sans CJK SC"/>
        <charset val="134"/>
      </rPr>
      <t>，十二指肠外侧可见</t>
    </r>
    <r>
      <rPr>
        <sz val="9"/>
        <rFont val="Arial"/>
        <charset val="1"/>
      </rPr>
      <t>ladd's</t>
    </r>
    <r>
      <rPr>
        <sz val="9"/>
        <rFont val="Noto Sans CJK SC"/>
        <charset val="134"/>
      </rPr>
      <t>板覆盖，升结肠与侧腹壁见</t>
    </r>
    <r>
      <rPr>
        <sz val="9"/>
        <rFont val="Arial"/>
        <charset val="1"/>
      </rPr>
      <t>ladd's</t>
    </r>
    <r>
      <rPr>
        <sz val="9"/>
        <rFont val="Noto Sans CJK SC"/>
        <charset val="134"/>
      </rPr>
      <t>板粘连。肠管血运良好。于右上腹肋下取</t>
    </r>
    <r>
      <rPr>
        <sz val="9"/>
        <rFont val="Arial"/>
        <charset val="1"/>
      </rPr>
      <t>5mm</t>
    </r>
    <r>
      <rPr>
        <sz val="9"/>
        <rFont val="Noto Sans CJK SC"/>
        <charset val="134"/>
      </rPr>
      <t>切口置入相应大小</t>
    </r>
    <r>
      <rPr>
        <sz val="9"/>
        <rFont val="Arial"/>
        <charset val="1"/>
      </rPr>
      <t>Troca</t>
    </r>
    <r>
      <rPr>
        <sz val="9"/>
        <rFont val="Noto Sans CJK SC"/>
        <charset val="134"/>
      </rPr>
      <t xml:space="preserve">作辅助切口。
</t>
    </r>
    <r>
      <rPr>
        <sz val="9"/>
        <rFont val="Arial"/>
        <charset val="1"/>
      </rPr>
      <t>3</t>
    </r>
    <r>
      <rPr>
        <sz val="9"/>
        <rFont val="Noto Sans CJK SC"/>
        <charset val="134"/>
      </rPr>
      <t>、游离结肠与右侧腹壁粘连，整体逆时针复位扭转中肠，钝锐性分离结肠与小肠粘连，松解右侧腹</t>
    </r>
    <r>
      <rPr>
        <sz val="9"/>
        <rFont val="Arial"/>
        <charset val="1"/>
      </rPr>
      <t>ladd's</t>
    </r>
    <r>
      <rPr>
        <sz val="9"/>
        <rFont val="Noto Sans CJK SC"/>
        <charset val="134"/>
      </rPr>
      <t>板，完全松解回盲部，并继续向上松解升结肠。再松解十二指肠外侧</t>
    </r>
    <r>
      <rPr>
        <sz val="9"/>
        <rFont val="Arial"/>
        <charset val="1"/>
      </rPr>
      <t>ladd's</t>
    </r>
    <r>
      <rPr>
        <sz val="9"/>
        <rFont val="Noto Sans CJK SC"/>
        <charset val="134"/>
      </rPr>
      <t>板，拉直十二指肠，并继续向下松解空肠粘连，理顺小肠直至回盲部，系膜宽度约</t>
    </r>
    <r>
      <rPr>
        <sz val="9"/>
        <rFont val="Arial"/>
        <charset val="1"/>
      </rPr>
      <t>4.0cm</t>
    </r>
    <r>
      <rPr>
        <sz val="9"/>
        <rFont val="Noto Sans CJK SC"/>
        <charset val="134"/>
      </rPr>
      <t xml:space="preserve">。修补末端回肠处系膜裂孔，检查全腹肠管血运良好。
</t>
    </r>
    <r>
      <rPr>
        <sz val="9"/>
        <rFont val="Arial"/>
        <charset val="1"/>
      </rPr>
      <t>4</t>
    </r>
    <r>
      <rPr>
        <sz val="9"/>
        <rFont val="Noto Sans CJK SC"/>
        <charset val="134"/>
      </rPr>
      <t>、将回盲部及横结肠、升结肠置左侧腹部，十二指肠及空肠置右侧腹部。术泰舒冲洗腹腔，检查腹腔无出血，于十二指肠于结肠间留置海洛特防止粘连。盆腔留置盆腔引流管一根于盆底，腹腔冲洗解除气腹，</t>
    </r>
    <r>
      <rPr>
        <sz val="9"/>
        <rFont val="Arial"/>
        <charset val="1"/>
      </rPr>
      <t>5-0</t>
    </r>
    <r>
      <rPr>
        <sz val="9"/>
        <rFont val="Noto Sans CJK SC"/>
        <charset val="134"/>
      </rPr>
      <t>可吸收线缝合伤口皮下，组织胶粘合皮肤，手术顺利，术毕返病房</t>
    </r>
    <r>
      <rPr>
        <sz val="9"/>
        <rFont val="Arial"/>
        <charset val="1"/>
      </rPr>
      <t>.
5</t>
    </r>
    <r>
      <rPr>
        <sz val="9"/>
        <rFont val="Noto Sans CJK SC"/>
        <charset val="134"/>
      </rPr>
      <t>、术中出血约</t>
    </r>
    <r>
      <rPr>
        <sz val="9"/>
        <rFont val="Arial"/>
        <charset val="1"/>
      </rPr>
      <t>10ml</t>
    </r>
    <r>
      <rPr>
        <sz val="9"/>
        <rFont val="Noto Sans CJK SC"/>
        <charset val="134"/>
      </rPr>
      <t>，尿量</t>
    </r>
    <r>
      <rPr>
        <sz val="9"/>
        <rFont val="Arial"/>
        <charset val="1"/>
      </rPr>
      <t>150ml</t>
    </r>
    <r>
      <rPr>
        <sz val="9"/>
        <rFont val="Noto Sans CJK SC"/>
        <charset val="134"/>
      </rPr>
      <t>。</t>
    </r>
  </si>
  <si>
    <r>
      <rPr>
        <sz val="9"/>
        <rFont val="Noto Sans CJK SC"/>
        <charset val="134"/>
      </rPr>
      <t>【锚定】</t>
    </r>
    <r>
      <rPr>
        <sz val="9"/>
        <rFont val="Arial"/>
        <charset val="1"/>
      </rPr>
      <t>2023-10-24</t>
    </r>
    <r>
      <rPr>
        <sz val="9"/>
        <rFont val="Noto Sans CJK SC"/>
        <charset val="134"/>
      </rPr>
      <t>｜先天性肠旋转不良</t>
    </r>
    <r>
      <rPr>
        <sz val="9"/>
        <rFont val="Arial"/>
        <charset val="1"/>
      </rPr>
      <t>(</t>
    </r>
    <r>
      <rPr>
        <sz val="9"/>
        <rFont val="Noto Sans CJK SC"/>
        <charset val="134"/>
      </rPr>
      <t>复发</t>
    </r>
    <r>
      <rPr>
        <sz val="9"/>
        <rFont val="Arial"/>
        <charset val="1"/>
      </rPr>
      <t>),</t>
    </r>
    <r>
      <rPr>
        <sz val="9"/>
        <rFont val="Noto Sans CJK SC"/>
        <charset val="134"/>
      </rPr>
      <t>粘连性肠梗阻</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｜腹腔镜下拉德手术（</t>
    </r>
    <r>
      <rPr>
        <sz val="9"/>
        <rFont val="Arial"/>
        <charset val="1"/>
      </rPr>
      <t>Ladd's</t>
    </r>
    <r>
      <rPr>
        <sz val="9"/>
        <rFont val="Noto Sans CJK SC"/>
        <charset val="134"/>
      </rPr>
      <t>）</t>
    </r>
    <r>
      <rPr>
        <sz val="9"/>
        <rFont val="Arial"/>
        <charset val="1"/>
      </rPr>
      <t>+</t>
    </r>
    <r>
      <rPr>
        <sz val="9"/>
        <rFont val="Noto Sans CJK SC"/>
        <charset val="134"/>
      </rPr>
      <t>腹腔镜下肠粘连松解术</t>
    </r>
    <r>
      <rPr>
        <sz val="9"/>
        <rFont val="Arial"/>
        <charset val="1"/>
      </rPr>
      <t>+</t>
    </r>
    <r>
      <rPr>
        <sz val="9"/>
        <rFont val="Noto Sans CJK SC"/>
        <charset val="134"/>
      </rPr>
      <t xml:space="preserve">经腹盆腔穿刺引流术
</t>
    </r>
    <r>
      <rPr>
        <sz val="9"/>
        <rFont val="Arial"/>
        <charset val="1"/>
      </rPr>
      <t>2023-11-14</t>
    </r>
    <r>
      <rPr>
        <sz val="9"/>
        <rFont val="Noto Sans CJK SC"/>
        <charset val="134"/>
      </rPr>
      <t>｜粘连性肠梗阻</t>
    </r>
    <r>
      <rPr>
        <sz val="9"/>
        <rFont val="Arial"/>
        <charset val="1"/>
      </rPr>
      <t>,</t>
    </r>
    <r>
      <rPr>
        <sz val="9"/>
        <rFont val="Noto Sans CJK SC"/>
        <charset val="134"/>
      </rPr>
      <t>先天性肠旋转不良</t>
    </r>
    <r>
      <rPr>
        <sz val="9"/>
        <rFont val="Arial"/>
        <charset val="1"/>
      </rPr>
      <t>(</t>
    </r>
    <r>
      <rPr>
        <sz val="9"/>
        <rFont val="Noto Sans CJK SC"/>
        <charset val="134"/>
      </rPr>
      <t>复发</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｜肠粘连松解术</t>
    </r>
    <r>
      <rPr>
        <sz val="9"/>
        <rFont val="Arial"/>
        <charset val="1"/>
      </rPr>
      <t>+</t>
    </r>
    <r>
      <rPr>
        <sz val="9"/>
        <rFont val="Noto Sans CJK SC"/>
        <charset val="134"/>
      </rPr>
      <t>胃空肠吻合术（旁路）</t>
    </r>
    <r>
      <rPr>
        <sz val="9"/>
        <rFont val="Arial"/>
        <charset val="1"/>
      </rPr>
      <t>+</t>
    </r>
    <r>
      <rPr>
        <sz val="9"/>
        <rFont val="Noto Sans CJK SC"/>
        <charset val="134"/>
      </rPr>
      <t>升结肠</t>
    </r>
    <r>
      <rPr>
        <sz val="9"/>
        <rFont val="Arial"/>
        <charset val="1"/>
      </rPr>
      <t>-</t>
    </r>
    <r>
      <rPr>
        <sz val="9"/>
        <rFont val="Noto Sans CJK SC"/>
        <charset val="134"/>
      </rPr>
      <t>横结肠吻合术</t>
    </r>
    <r>
      <rPr>
        <sz val="9"/>
        <rFont val="Arial"/>
        <charset val="1"/>
      </rPr>
      <t>+</t>
    </r>
    <r>
      <rPr>
        <sz val="9"/>
        <rFont val="Noto Sans CJK SC"/>
        <charset val="134"/>
      </rPr>
      <t>经腹盆腔穿刺引流术</t>
    </r>
    <r>
      <rPr>
        <sz val="9"/>
        <rFont val="Arial"/>
        <charset val="1"/>
      </rPr>
      <t>+</t>
    </r>
    <r>
      <rPr>
        <sz val="9"/>
        <rFont val="Noto Sans CJK SC"/>
        <charset val="134"/>
      </rPr>
      <t>胃镜检查</t>
    </r>
  </si>
  <si>
    <t>2023-11-30</t>
  </si>
  <si>
    <r>
      <rPr>
        <sz val="9"/>
        <rFont val="Arial"/>
        <charset val="1"/>
      </rPr>
      <t>(</t>
    </r>
    <r>
      <rPr>
        <sz val="9"/>
        <rFont val="Noto Sans CJK SC"/>
        <charset val="134"/>
      </rPr>
      <t>复发型</t>
    </r>
    <r>
      <rPr>
        <sz val="9"/>
        <rFont val="Arial"/>
        <charset val="1"/>
      </rPr>
      <t>)</t>
    </r>
    <r>
      <rPr>
        <sz val="9"/>
        <rFont val="Noto Sans CJK SC"/>
        <charset val="134"/>
      </rPr>
      <t>先天性肠旋转不良  粘连性肠梗阻</t>
    </r>
    <r>
      <rPr>
        <sz val="9"/>
        <rFont val="Arial"/>
        <charset val="1"/>
      </rPr>
      <t xml:space="preserve">, </t>
    </r>
    <r>
      <rPr>
        <sz val="9"/>
        <rFont val="Noto Sans CJK SC"/>
        <charset val="134"/>
      </rPr>
      <t>回肠损伤 手术的随诊医疗</t>
    </r>
    <r>
      <rPr>
        <sz val="9"/>
        <rFont val="Arial"/>
        <charset val="1"/>
      </rPr>
      <t>(</t>
    </r>
    <r>
      <rPr>
        <sz val="9"/>
        <rFont val="Noto Sans CJK SC"/>
        <charset val="134"/>
      </rPr>
      <t>外院先天性肠旋转不良术后</t>
    </r>
    <r>
      <rPr>
        <sz val="9"/>
        <rFont val="Arial"/>
        <charset val="1"/>
      </rPr>
      <t>),(</t>
    </r>
    <r>
      <rPr>
        <sz val="9"/>
        <rFont val="Noto Sans CJK SC"/>
        <charset val="134"/>
      </rPr>
      <t>中度</t>
    </r>
    <r>
      <rPr>
        <sz val="9"/>
        <rFont val="Arial"/>
        <charset val="1"/>
      </rPr>
      <t>)</t>
    </r>
    <r>
      <rPr>
        <sz val="9"/>
        <rFont val="Noto Sans CJK SC"/>
        <charset val="134"/>
      </rPr>
      <t>脱水</t>
    </r>
    <r>
      <rPr>
        <sz val="9"/>
        <rFont val="Arial"/>
        <charset val="1"/>
      </rPr>
      <t>,</t>
    </r>
    <r>
      <rPr>
        <sz val="9"/>
        <rFont val="Noto Sans CJK SC"/>
        <charset val="134"/>
      </rPr>
      <t>腹腔感染</t>
    </r>
    <r>
      <rPr>
        <sz val="9"/>
        <rFont val="Arial"/>
        <charset val="1"/>
      </rPr>
      <t>,</t>
    </r>
    <r>
      <rPr>
        <sz val="9"/>
        <rFont val="Noto Sans CJK SC"/>
        <charset val="134"/>
      </rPr>
      <t>清蛋白</t>
    </r>
    <r>
      <rPr>
        <sz val="9"/>
        <rFont val="Arial"/>
        <charset val="1"/>
      </rPr>
      <t>[</t>
    </r>
    <r>
      <rPr>
        <sz val="9"/>
        <rFont val="Noto Sans CJK SC"/>
        <charset val="134"/>
      </rPr>
      <t>白蛋白</t>
    </r>
    <r>
      <rPr>
        <sz val="9"/>
        <rFont val="Arial"/>
        <charset val="1"/>
      </rPr>
      <t>]</t>
    </r>
    <r>
      <rPr>
        <sz val="9"/>
        <rFont val="Noto Sans CJK SC"/>
        <charset val="134"/>
      </rPr>
      <t>异常</t>
    </r>
    <r>
      <rPr>
        <sz val="9"/>
        <rFont val="Arial"/>
        <charset val="1"/>
      </rPr>
      <t>(</t>
    </r>
    <r>
      <rPr>
        <sz val="9"/>
        <rFont val="Noto Sans CJK SC"/>
        <charset val="134"/>
      </rPr>
      <t>低蛋白血症</t>
    </r>
    <r>
      <rPr>
        <sz val="9"/>
        <rFont val="Arial"/>
        <charset val="1"/>
      </rPr>
      <t>)</t>
    </r>
  </si>
  <si>
    <r>
      <rPr>
        <sz val="9"/>
        <rFont val="Noto Sans CJK SC"/>
        <charset val="134"/>
      </rPr>
      <t>拉德手术</t>
    </r>
    <r>
      <rPr>
        <sz val="9"/>
        <rFont val="Arial"/>
        <charset val="1"/>
      </rPr>
      <t>+</t>
    </r>
    <r>
      <rPr>
        <sz val="9"/>
        <rFont val="Noto Sans CJK SC"/>
        <charset val="134"/>
      </rPr>
      <t>肠粘连松解术</t>
    </r>
    <r>
      <rPr>
        <sz val="9"/>
        <rFont val="Arial"/>
        <charset val="1"/>
      </rPr>
      <t>+</t>
    </r>
    <r>
      <rPr>
        <sz val="9"/>
        <rFont val="Noto Sans CJK SC"/>
        <charset val="134"/>
      </rPr>
      <t>回肠裂伤修补术</t>
    </r>
    <r>
      <rPr>
        <sz val="9"/>
        <rFont val="Arial"/>
        <charset val="1"/>
      </rPr>
      <t>+</t>
    </r>
    <r>
      <rPr>
        <sz val="9"/>
        <rFont val="Noto Sans CJK SC"/>
        <charset val="134"/>
      </rPr>
      <t>小肠扭转复位术</t>
    </r>
    <r>
      <rPr>
        <sz val="9"/>
        <rFont val="Arial"/>
        <charset val="1"/>
      </rPr>
      <t>+</t>
    </r>
    <r>
      <rPr>
        <sz val="9"/>
        <rFont val="Noto Sans CJK SC"/>
        <charset val="134"/>
      </rPr>
      <t>经腹盆腔穿刺引流术</t>
    </r>
  </si>
  <si>
    <r>
      <rPr>
        <sz val="9"/>
        <rFont val="Arial"/>
        <charset val="1"/>
      </rPr>
      <t>1</t>
    </r>
    <r>
      <rPr>
        <sz val="9"/>
        <rFont val="Noto Sans CJK SC"/>
        <charset val="134"/>
      </rPr>
      <t xml:space="preserve">、麻醉满意后，患儿取仰卧位，上导尿管，常规消毒铺巾。
</t>
    </r>
    <r>
      <rPr>
        <sz val="9"/>
        <rFont val="Arial"/>
        <charset val="1"/>
      </rPr>
      <t>2</t>
    </r>
    <r>
      <rPr>
        <sz val="9"/>
        <rFont val="Noto Sans CJK SC"/>
        <charset val="134"/>
      </rPr>
      <t>、取原经右侧腹直肌旁切口进腹，逐层进腹，见切口处腹膜与肠管粘连，注意保护肠管，松解粘连，腹腔淡黄色渗液溢出，吸尽腹腔积液，探查腹腔：见腹腔大部分小肠扩张、部分小肠蔫瘪，回盲部位于右上腹，扩张与蔫瘪小肠分界处约位于距离回盲部</t>
    </r>
    <r>
      <rPr>
        <sz val="9"/>
        <rFont val="Arial"/>
        <charset val="1"/>
      </rPr>
      <t>15cm</t>
    </r>
    <r>
      <rPr>
        <sz val="9"/>
        <rFont val="Noto Sans CJK SC"/>
        <charset val="134"/>
      </rPr>
      <t>处末端回肠，回肠与自身系膜粘连成角，以止血钳小心钝性分离松解粘连，原成角小肠肠管可见</t>
    </r>
    <r>
      <rPr>
        <sz val="9"/>
        <rFont val="Arial"/>
        <charset val="1"/>
      </rPr>
      <t>0.2cm</t>
    </r>
    <r>
      <rPr>
        <sz val="9"/>
        <rFont val="Noto Sans CJK SC"/>
        <charset val="134"/>
      </rPr>
      <t>压迹，颜色稍发白，以</t>
    </r>
    <r>
      <rPr>
        <sz val="9"/>
        <rFont val="Arial"/>
        <charset val="1"/>
      </rPr>
      <t>5-0</t>
    </r>
    <r>
      <rPr>
        <sz val="9"/>
        <rFont val="Noto Sans CJK SC"/>
        <charset val="134"/>
      </rPr>
      <t>可吸收线予以浆肌层加固。继续向上探查，空肠起始部位于脊柱中线，中肠顺时针旋转</t>
    </r>
    <r>
      <rPr>
        <sz val="9"/>
        <rFont val="Arial"/>
        <charset val="1"/>
      </rPr>
      <t>360°</t>
    </r>
    <r>
      <rPr>
        <sz val="9"/>
        <rFont val="Noto Sans CJK SC"/>
        <charset val="134"/>
      </rPr>
      <t>，十二指肠外侧可见</t>
    </r>
    <r>
      <rPr>
        <sz val="9"/>
        <rFont val="Arial"/>
        <charset val="1"/>
      </rPr>
      <t>ladd's</t>
    </r>
    <r>
      <rPr>
        <sz val="9"/>
        <rFont val="Noto Sans CJK SC"/>
        <charset val="134"/>
      </rPr>
      <t>板覆盖，横结肠与</t>
    </r>
    <r>
      <rPr>
        <sz val="9"/>
        <rFont val="Arial"/>
        <charset val="1"/>
      </rPr>
      <t>ladd's</t>
    </r>
    <r>
      <rPr>
        <sz val="9"/>
        <rFont val="Noto Sans CJK SC"/>
        <charset val="134"/>
      </rPr>
      <t xml:space="preserve">板粘连。肠管血运尚可。阑尾未切。
</t>
    </r>
    <r>
      <rPr>
        <sz val="9"/>
        <rFont val="Arial"/>
        <charset val="1"/>
      </rPr>
      <t>3</t>
    </r>
    <r>
      <rPr>
        <sz val="9"/>
        <rFont val="Noto Sans CJK SC"/>
        <charset val="134"/>
      </rPr>
      <t>、逆时针复位小肠，松解十二指肠外侧</t>
    </r>
    <r>
      <rPr>
        <sz val="9"/>
        <rFont val="Arial"/>
        <charset val="1"/>
      </rPr>
      <t>ladd's</t>
    </r>
    <r>
      <rPr>
        <sz val="9"/>
        <rFont val="Noto Sans CJK SC"/>
        <charset val="134"/>
      </rPr>
      <t>板与横结肠粘连，松解</t>
    </r>
    <r>
      <rPr>
        <sz val="9"/>
        <rFont val="Arial"/>
        <charset val="1"/>
      </rPr>
      <t>ladd's</t>
    </r>
    <r>
      <rPr>
        <sz val="9"/>
        <rFont val="Noto Sans CJK SC"/>
        <charset val="134"/>
      </rPr>
      <t>板，拉直十二指肠，并继续向下松解空肠粘连，理顺小肠直至回盲部，系膜宽度约</t>
    </r>
    <r>
      <rPr>
        <sz val="9"/>
        <rFont val="Arial"/>
        <charset val="1"/>
      </rPr>
      <t>4cm</t>
    </r>
    <r>
      <rPr>
        <sz val="9"/>
        <rFont val="Noto Sans CJK SC"/>
        <charset val="134"/>
      </rPr>
      <t>。于系膜处放置大清生物纸防粘连，游离阑尾系膜，结扎系膜血管，距其根部</t>
    </r>
    <r>
      <rPr>
        <sz val="9"/>
        <rFont val="Arial"/>
        <charset val="1"/>
      </rPr>
      <t>0.5cm</t>
    </r>
    <r>
      <rPr>
        <sz val="9"/>
        <rFont val="Noto Sans CJK SC"/>
        <charset val="134"/>
      </rPr>
      <t>处</t>
    </r>
    <r>
      <rPr>
        <sz val="9"/>
        <rFont val="Arial"/>
        <charset val="1"/>
      </rPr>
      <t>2-0</t>
    </r>
    <r>
      <rPr>
        <sz val="9"/>
        <rFont val="Noto Sans CJK SC"/>
        <charset val="134"/>
      </rPr>
      <t xml:space="preserve">丝线结扎阑尾并予以切除，电灼并包埋残端。
</t>
    </r>
    <r>
      <rPr>
        <sz val="9"/>
        <rFont val="Arial"/>
        <charset val="1"/>
      </rPr>
      <t>4</t>
    </r>
    <r>
      <rPr>
        <sz val="9"/>
        <rFont val="Noto Sans CJK SC"/>
        <charset val="134"/>
      </rPr>
      <t xml:space="preserve">、将回盲部及横结肠、升结肠置左侧腹部，十二指肠及空肠置右侧腹部。检查腹腔无出血。蛇毒血凝酶冲洗腹腔、吸尽腹腔积液后留置海洛特（透明质酸钠凝胶）于腹腔预防肠粘连，，另于松解回肠狭窄处及切口下放置倍菱防粘连，盆腔留置引流管一根，逐层缝合，外层皮肤予以减张缝合，手术顺利，术毕返病房。
</t>
    </r>
    <r>
      <rPr>
        <sz val="9"/>
        <rFont val="Arial"/>
        <charset val="1"/>
      </rPr>
      <t>5</t>
    </r>
    <r>
      <rPr>
        <sz val="9"/>
        <rFont val="Noto Sans CJK SC"/>
        <charset val="134"/>
      </rPr>
      <t>、术中出血约</t>
    </r>
    <r>
      <rPr>
        <sz val="9"/>
        <rFont val="Arial"/>
        <charset val="1"/>
      </rPr>
      <t>40ml</t>
    </r>
    <r>
      <rPr>
        <sz val="9"/>
        <rFont val="Noto Sans CJK SC"/>
        <charset val="134"/>
      </rPr>
      <t>，尿量</t>
    </r>
    <r>
      <rPr>
        <sz val="9"/>
        <rFont val="Arial"/>
        <charset val="1"/>
      </rPr>
      <t>100ml</t>
    </r>
    <r>
      <rPr>
        <sz val="9"/>
        <rFont val="Noto Sans CJK SC"/>
        <charset val="134"/>
      </rPr>
      <t>。术中患儿渗出较多，予以输注</t>
    </r>
    <r>
      <rPr>
        <sz val="9"/>
        <rFont val="Arial"/>
        <charset val="1"/>
      </rPr>
      <t>O"</t>
    </r>
    <r>
      <rPr>
        <sz val="9"/>
        <rFont val="Noto Sans CJK SC"/>
        <charset val="134"/>
      </rPr>
      <t>型</t>
    </r>
    <r>
      <rPr>
        <sz val="9"/>
        <rFont val="Arial"/>
        <charset val="1"/>
      </rPr>
      <t>RH</t>
    </r>
    <r>
      <rPr>
        <sz val="9"/>
        <rFont val="Noto Sans CJK SC"/>
        <charset val="134"/>
      </rPr>
      <t>（</t>
    </r>
    <r>
      <rPr>
        <sz val="9"/>
        <rFont val="Arial"/>
        <charset val="1"/>
      </rPr>
      <t>+</t>
    </r>
    <r>
      <rPr>
        <sz val="9"/>
        <rFont val="Noto Sans CJK SC"/>
        <charset val="134"/>
      </rPr>
      <t>）悬浮红细胞</t>
    </r>
    <r>
      <rPr>
        <sz val="9"/>
        <rFont val="Arial"/>
        <charset val="1"/>
      </rPr>
      <t>0.5U</t>
    </r>
    <r>
      <rPr>
        <sz val="9"/>
        <rFont val="Noto Sans CJK SC"/>
        <charset val="134"/>
      </rPr>
      <t>（血袋条码：</t>
    </r>
    <r>
      <rPr>
        <sz val="9"/>
        <rFont val="Arial"/>
        <charset val="1"/>
      </rPr>
      <t>9000123219668</t>
    </r>
    <r>
      <rPr>
        <sz val="9"/>
        <rFont val="Noto Sans CJK SC"/>
        <charset val="134"/>
      </rPr>
      <t>）</t>
    </r>
    <r>
      <rPr>
        <sz val="9"/>
        <rFont val="Arial"/>
        <charset val="1"/>
      </rPr>
      <t>,100ml O"</t>
    </r>
    <r>
      <rPr>
        <sz val="9"/>
        <rFont val="Noto Sans CJK SC"/>
        <charset val="134"/>
      </rPr>
      <t>型</t>
    </r>
    <r>
      <rPr>
        <sz val="9"/>
        <rFont val="Arial"/>
        <charset val="1"/>
      </rPr>
      <t>RH</t>
    </r>
    <r>
      <rPr>
        <sz val="9"/>
        <rFont val="Noto Sans CJK SC"/>
        <charset val="134"/>
      </rPr>
      <t>（</t>
    </r>
    <r>
      <rPr>
        <sz val="9"/>
        <rFont val="Arial"/>
        <charset val="1"/>
      </rPr>
      <t>+</t>
    </r>
    <r>
      <rPr>
        <sz val="9"/>
        <rFont val="Noto Sans CJK SC"/>
        <charset val="134"/>
      </rPr>
      <t>）血浆</t>
    </r>
    <r>
      <rPr>
        <sz val="9"/>
        <rFont val="Arial"/>
        <charset val="1"/>
      </rPr>
      <t>"</t>
    </r>
    <r>
      <rPr>
        <sz val="9"/>
        <rFont val="Noto Sans CJK SC"/>
        <charset val="134"/>
      </rPr>
      <t>（血袋条码</t>
    </r>
    <r>
      <rPr>
        <sz val="9"/>
        <rFont val="Arial"/>
        <charset val="1"/>
      </rPr>
      <t>9000123178433</t>
    </r>
    <r>
      <rPr>
        <sz val="9"/>
        <rFont val="Noto Sans CJK SC"/>
        <charset val="134"/>
      </rPr>
      <t>），输注过程顺利</t>
    </r>
    <r>
      <rPr>
        <sz val="9"/>
        <rFont val="Arial"/>
        <charset val="1"/>
      </rPr>
      <t>,</t>
    </r>
    <r>
      <rPr>
        <sz val="9"/>
        <rFont val="Noto Sans CJK SC"/>
        <charset val="134"/>
      </rPr>
      <t>无发热、过敏等输血反应。</t>
    </r>
  </si>
  <si>
    <r>
      <rPr>
        <sz val="9"/>
        <rFont val="Noto Sans CJK SC"/>
        <charset val="134"/>
      </rPr>
      <t>【锚定】</t>
    </r>
    <r>
      <rPr>
        <sz val="9"/>
        <rFont val="Arial"/>
        <charset val="1"/>
      </rPr>
      <t>2023-11-30</t>
    </r>
    <r>
      <rPr>
        <sz val="9"/>
        <rFont val="Noto Sans CJK SC"/>
        <charset val="134"/>
      </rPr>
      <t>｜</t>
    </r>
    <r>
      <rPr>
        <sz val="9"/>
        <rFont val="Arial"/>
        <charset val="1"/>
      </rPr>
      <t>(</t>
    </r>
    <r>
      <rPr>
        <sz val="9"/>
        <rFont val="Noto Sans CJK SC"/>
        <charset val="134"/>
      </rPr>
      <t>复发型</t>
    </r>
    <r>
      <rPr>
        <sz val="9"/>
        <rFont val="Arial"/>
        <charset val="1"/>
      </rPr>
      <t>)</t>
    </r>
    <r>
      <rPr>
        <sz val="9"/>
        <rFont val="Noto Sans CJK SC"/>
        <charset val="134"/>
      </rPr>
      <t>先天性肠旋转不良  粘连性肠梗阻</t>
    </r>
    <r>
      <rPr>
        <sz val="9"/>
        <rFont val="Arial"/>
        <charset val="1"/>
      </rPr>
      <t xml:space="preserve">, </t>
    </r>
    <r>
      <rPr>
        <sz val="9"/>
        <rFont val="Noto Sans CJK SC"/>
        <charset val="134"/>
      </rPr>
      <t>回肠损伤 手术的随诊医疗</t>
    </r>
    <r>
      <rPr>
        <sz val="9"/>
        <rFont val="Arial"/>
        <charset val="1"/>
      </rPr>
      <t>(</t>
    </r>
    <r>
      <rPr>
        <sz val="9"/>
        <rFont val="Noto Sans CJK SC"/>
        <charset val="134"/>
      </rPr>
      <t>外院先天性肠旋转不良术后</t>
    </r>
    <r>
      <rPr>
        <sz val="9"/>
        <rFont val="Arial"/>
        <charset val="1"/>
      </rPr>
      <t>),(</t>
    </r>
    <r>
      <rPr>
        <sz val="9"/>
        <rFont val="Noto Sans CJK SC"/>
        <charset val="134"/>
      </rPr>
      <t>中度</t>
    </r>
    <r>
      <rPr>
        <sz val="9"/>
        <rFont val="Arial"/>
        <charset val="1"/>
      </rPr>
      <t>)</t>
    </r>
    <r>
      <rPr>
        <sz val="9"/>
        <rFont val="Noto Sans CJK SC"/>
        <charset val="134"/>
      </rPr>
      <t>脱水</t>
    </r>
    <r>
      <rPr>
        <sz val="9"/>
        <rFont val="Arial"/>
        <charset val="1"/>
      </rPr>
      <t>,</t>
    </r>
    <r>
      <rPr>
        <sz val="9"/>
        <rFont val="Noto Sans CJK SC"/>
        <charset val="134"/>
      </rPr>
      <t>腹腔感｜拉德手术</t>
    </r>
    <r>
      <rPr>
        <sz val="9"/>
        <rFont val="Arial"/>
        <charset val="1"/>
      </rPr>
      <t>+</t>
    </r>
    <r>
      <rPr>
        <sz val="9"/>
        <rFont val="Noto Sans CJK SC"/>
        <charset val="134"/>
      </rPr>
      <t>肠粘连松解术</t>
    </r>
    <r>
      <rPr>
        <sz val="9"/>
        <rFont val="Arial"/>
        <charset val="1"/>
      </rPr>
      <t>+</t>
    </r>
    <r>
      <rPr>
        <sz val="9"/>
        <rFont val="Noto Sans CJK SC"/>
        <charset val="134"/>
      </rPr>
      <t>回肠裂伤修补术</t>
    </r>
    <r>
      <rPr>
        <sz val="9"/>
        <rFont val="Arial"/>
        <charset val="1"/>
      </rPr>
      <t>+</t>
    </r>
    <r>
      <rPr>
        <sz val="9"/>
        <rFont val="Noto Sans CJK SC"/>
        <charset val="134"/>
      </rPr>
      <t>小肠扭转复位术</t>
    </r>
    <r>
      <rPr>
        <sz val="9"/>
        <rFont val="Arial"/>
        <charset val="1"/>
      </rPr>
      <t>+</t>
    </r>
    <r>
      <rPr>
        <sz val="9"/>
        <rFont val="Noto Sans CJK SC"/>
        <charset val="134"/>
      </rPr>
      <t>经腹盆腔穿刺引流术</t>
    </r>
  </si>
  <si>
    <r>
      <rPr>
        <sz val="9"/>
        <rFont val="Arial"/>
        <charset val="1"/>
      </rPr>
      <t>UGI=</t>
    </r>
    <r>
      <rPr>
        <sz val="9"/>
        <rFont val="Noto Sans CJK SC"/>
        <charset val="134"/>
      </rPr>
      <t>未检出</t>
    </r>
  </si>
  <si>
    <t>2025-11-18</t>
  </si>
  <si>
    <r>
      <rPr>
        <sz val="9"/>
        <rFont val="Noto Sans CJK SC"/>
        <charset val="134"/>
      </rPr>
      <t>先天性肠旋转不良</t>
    </r>
    <r>
      <rPr>
        <sz val="9"/>
        <rFont val="Arial"/>
        <charset val="1"/>
      </rPr>
      <t>,</t>
    </r>
    <r>
      <rPr>
        <sz val="9"/>
        <rFont val="Noto Sans CJK SC"/>
        <charset val="134"/>
      </rPr>
      <t>肠扭转</t>
    </r>
    <r>
      <rPr>
        <sz val="9"/>
        <rFont val="Arial"/>
        <charset val="1"/>
      </rPr>
      <t>,</t>
    </r>
    <r>
      <rPr>
        <sz val="9"/>
        <rFont val="Noto Sans CJK SC"/>
        <charset val="134"/>
      </rPr>
      <t>粘连性肠梗阻</t>
    </r>
    <r>
      <rPr>
        <sz val="9"/>
        <rFont val="Arial"/>
        <charset val="1"/>
      </rPr>
      <t>,</t>
    </r>
    <r>
      <rPr>
        <sz val="9"/>
        <rFont val="Noto Sans CJK SC"/>
        <charset val="134"/>
      </rPr>
      <t>腹痛</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变应性鼻炎</t>
    </r>
  </si>
  <si>
    <r>
      <rPr>
        <sz val="9"/>
        <rFont val="Noto Sans CJK SC"/>
        <charset val="134"/>
      </rPr>
      <t>拉德手术</t>
    </r>
    <r>
      <rPr>
        <sz val="9"/>
        <rFont val="Arial"/>
        <charset val="1"/>
      </rPr>
      <t>+</t>
    </r>
    <r>
      <rPr>
        <sz val="9"/>
        <rFont val="Noto Sans CJK SC"/>
        <charset val="134"/>
      </rPr>
      <t>小肠扭转复位术</t>
    </r>
    <r>
      <rPr>
        <sz val="9"/>
        <rFont val="Arial"/>
        <charset val="1"/>
      </rPr>
      <t>+</t>
    </r>
    <r>
      <rPr>
        <sz val="9"/>
        <rFont val="Noto Sans CJK SC"/>
        <charset val="134"/>
      </rPr>
      <t>小肠排列术</t>
    </r>
    <r>
      <rPr>
        <sz val="9"/>
        <rFont val="Arial"/>
        <charset val="1"/>
      </rPr>
      <t>+</t>
    </r>
    <r>
      <rPr>
        <sz val="9"/>
        <rFont val="Noto Sans CJK SC"/>
        <charset val="134"/>
      </rPr>
      <t>肠粘连松解术</t>
    </r>
    <r>
      <rPr>
        <sz val="9"/>
        <rFont val="Arial"/>
        <charset val="1"/>
      </rPr>
      <t>+</t>
    </r>
    <r>
      <rPr>
        <sz val="9"/>
        <rFont val="Noto Sans CJK SC"/>
        <charset val="134"/>
      </rPr>
      <t>经腹盆腔穿刺引流术</t>
    </r>
  </si>
  <si>
    <r>
      <rPr>
        <sz val="9"/>
        <rFont val="Arial"/>
        <charset val="1"/>
      </rPr>
      <t>1</t>
    </r>
    <r>
      <rPr>
        <sz val="9"/>
        <rFont val="Noto Sans CJK SC"/>
        <charset val="134"/>
      </rPr>
      <t xml:space="preserve">、麻醉满意后，患儿取仰卧位，常规消毒铺巾，留置导尿。
</t>
    </r>
    <r>
      <rPr>
        <sz val="9"/>
        <rFont val="Arial"/>
        <charset val="1"/>
      </rPr>
      <t>2</t>
    </r>
    <r>
      <rPr>
        <sz val="9"/>
        <rFont val="Noto Sans CJK SC"/>
        <charset val="134"/>
      </rPr>
      <t>、分别取下腹部经脐正中切口，逐层进腹。见回盲部位于中上腹，肠系膜旋转约</t>
    </r>
    <r>
      <rPr>
        <sz val="9"/>
        <rFont val="Arial"/>
        <charset val="1"/>
      </rPr>
      <t>360</t>
    </r>
    <r>
      <rPr>
        <sz val="9"/>
        <rFont val="Noto Sans CJK SC"/>
        <charset val="134"/>
      </rPr>
      <t>度，予以复位，原</t>
    </r>
    <r>
      <rPr>
        <sz val="9"/>
        <rFont val="Arial"/>
        <charset val="1"/>
      </rPr>
      <t>Ladd's</t>
    </r>
    <r>
      <rPr>
        <sz val="9"/>
        <rFont val="Noto Sans CJK SC"/>
        <charset val="134"/>
      </rPr>
      <t>板处网膜及肠管粘连，空肠起始段与肠系膜、横结肠系膜均有粘连</t>
    </r>
    <r>
      <rPr>
        <sz val="9"/>
        <rFont val="Arial"/>
        <charset val="1"/>
      </rPr>
      <t>,</t>
    </r>
    <r>
      <rPr>
        <sz val="9"/>
        <rFont val="Noto Sans CJK SC"/>
        <charset val="134"/>
      </rPr>
      <t>小心松解十二指肠系膜对侧和结肠系膜对侧粘连。探查十二指肠和空肠起始段位于肠系膜动静脉右侧，肠系膜动静脉扭转</t>
    </r>
    <r>
      <rPr>
        <sz val="9"/>
        <rFont val="Arial"/>
        <charset val="1"/>
      </rPr>
      <t>180°</t>
    </r>
    <r>
      <rPr>
        <sz val="9"/>
        <rFont val="Noto Sans CJK SC"/>
        <charset val="134"/>
      </rPr>
      <t>，肠系膜动脉位于肠系膜静脉右侧，并且肠系膜根部后腹膜附着点起始点距离约</t>
    </r>
    <r>
      <rPr>
        <sz val="9"/>
        <rFont val="Arial"/>
        <charset val="1"/>
      </rPr>
      <t>3cm</t>
    </r>
    <r>
      <rPr>
        <sz val="9"/>
        <rFont val="Noto Sans CJK SC"/>
        <charset val="134"/>
      </rPr>
      <t xml:space="preserve">，肠系膜根部窄并较长。
</t>
    </r>
    <r>
      <rPr>
        <sz val="9"/>
        <rFont val="Arial"/>
        <charset val="1"/>
      </rPr>
      <t>4</t>
    </r>
    <r>
      <rPr>
        <sz val="9"/>
        <rFont val="Noto Sans CJK SC"/>
        <charset val="134"/>
      </rPr>
      <t>、松解粘连后全小肠逆时针</t>
    </r>
    <r>
      <rPr>
        <sz val="9"/>
        <rFont val="Arial"/>
        <charset val="1"/>
      </rPr>
      <t>180</t>
    </r>
    <r>
      <rPr>
        <sz val="9"/>
        <rFont val="Noto Sans CJK SC"/>
        <charset val="134"/>
      </rPr>
      <t>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t>
    </r>
    <r>
      <rPr>
        <sz val="9"/>
        <rFont val="Arial"/>
        <charset val="1"/>
      </rPr>
      <t>2.5cm</t>
    </r>
    <r>
      <rPr>
        <sz val="9"/>
        <rFont val="Noto Sans CJK SC"/>
        <charset val="134"/>
      </rPr>
      <t xml:space="preserve">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t>
    </r>
    <r>
      <rPr>
        <sz val="9"/>
        <rFont val="Arial"/>
        <charset val="1"/>
      </rPr>
      <t>5</t>
    </r>
    <r>
      <rPr>
        <sz val="9"/>
        <rFont val="Noto Sans CJK SC"/>
        <charset val="134"/>
      </rPr>
      <t>、术中出血约</t>
    </r>
    <r>
      <rPr>
        <sz val="9"/>
        <rFont val="Arial"/>
        <charset val="1"/>
      </rPr>
      <t>10ml</t>
    </r>
    <r>
      <rPr>
        <sz val="9"/>
        <rFont val="Noto Sans CJK SC"/>
        <charset val="134"/>
      </rPr>
      <t>，尿量</t>
    </r>
    <r>
      <rPr>
        <sz val="9"/>
        <rFont val="Arial"/>
        <charset val="1"/>
      </rPr>
      <t>100ml</t>
    </r>
    <r>
      <rPr>
        <sz val="9"/>
        <rFont val="Noto Sans CJK SC"/>
        <charset val="134"/>
      </rPr>
      <t>。</t>
    </r>
  </si>
  <si>
    <r>
      <rPr>
        <sz val="9"/>
        <rFont val="Noto Sans CJK SC"/>
        <charset val="134"/>
      </rPr>
      <t>【锚定】</t>
    </r>
    <r>
      <rPr>
        <sz val="9"/>
        <rFont val="Arial"/>
        <charset val="1"/>
      </rPr>
      <t>2025-11-18</t>
    </r>
    <r>
      <rPr>
        <sz val="9"/>
        <rFont val="Noto Sans CJK SC"/>
        <charset val="134"/>
      </rPr>
      <t>｜先天性肠旋转不良</t>
    </r>
    <r>
      <rPr>
        <sz val="9"/>
        <rFont val="Arial"/>
        <charset val="1"/>
      </rPr>
      <t>,</t>
    </r>
    <r>
      <rPr>
        <sz val="9"/>
        <rFont val="Noto Sans CJK SC"/>
        <charset val="134"/>
      </rPr>
      <t>肠扭转</t>
    </r>
    <r>
      <rPr>
        <sz val="9"/>
        <rFont val="Arial"/>
        <charset val="1"/>
      </rPr>
      <t>,</t>
    </r>
    <r>
      <rPr>
        <sz val="9"/>
        <rFont val="Noto Sans CJK SC"/>
        <charset val="134"/>
      </rPr>
      <t>粘连性肠梗阻</t>
    </r>
    <r>
      <rPr>
        <sz val="9"/>
        <rFont val="Arial"/>
        <charset val="1"/>
      </rPr>
      <t>,</t>
    </r>
    <r>
      <rPr>
        <sz val="9"/>
        <rFont val="Noto Sans CJK SC"/>
        <charset val="134"/>
      </rPr>
      <t>腹痛</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变应性鼻炎｜拉德手术</t>
    </r>
    <r>
      <rPr>
        <sz val="9"/>
        <rFont val="Arial"/>
        <charset val="1"/>
      </rPr>
      <t>+</t>
    </r>
    <r>
      <rPr>
        <sz val="9"/>
        <rFont val="Noto Sans CJK SC"/>
        <charset val="134"/>
      </rPr>
      <t>小肠扭转复位术</t>
    </r>
    <r>
      <rPr>
        <sz val="9"/>
        <rFont val="Arial"/>
        <charset val="1"/>
      </rPr>
      <t>+</t>
    </r>
    <r>
      <rPr>
        <sz val="9"/>
        <rFont val="Noto Sans CJK SC"/>
        <charset val="134"/>
      </rPr>
      <t>小肠排列术</t>
    </r>
    <r>
      <rPr>
        <sz val="9"/>
        <rFont val="Arial"/>
        <charset val="1"/>
      </rPr>
      <t>+</t>
    </r>
    <r>
      <rPr>
        <sz val="9"/>
        <rFont val="Noto Sans CJK SC"/>
        <charset val="134"/>
      </rPr>
      <t>肠粘连松解术</t>
    </r>
    <r>
      <rPr>
        <sz val="9"/>
        <rFont val="Arial"/>
        <charset val="1"/>
      </rPr>
      <t>+</t>
    </r>
    <r>
      <rPr>
        <sz val="9"/>
        <rFont val="Noto Sans CJK SC"/>
        <charset val="134"/>
      </rPr>
      <t xml:space="preserve">经腹盆腔穿刺引流术
</t>
    </r>
    <r>
      <rPr>
        <sz val="9"/>
        <rFont val="Arial"/>
        <charset val="1"/>
      </rPr>
      <t>2025-11-27</t>
    </r>
    <r>
      <rPr>
        <sz val="9"/>
        <rFont val="Noto Sans CJK SC"/>
        <charset val="134"/>
      </rPr>
      <t>｜先天性肠旋转不良</t>
    </r>
    <r>
      <rPr>
        <sz val="9"/>
        <rFont val="Arial"/>
        <charset val="1"/>
      </rPr>
      <t>,</t>
    </r>
    <r>
      <rPr>
        <sz val="9"/>
        <rFont val="Noto Sans CJK SC"/>
        <charset val="134"/>
      </rPr>
      <t>肠扭转</t>
    </r>
    <r>
      <rPr>
        <sz val="9"/>
        <rFont val="Arial"/>
        <charset val="1"/>
      </rPr>
      <t>,</t>
    </r>
    <r>
      <rPr>
        <sz val="9"/>
        <rFont val="Noto Sans CJK SC"/>
        <charset val="134"/>
      </rPr>
      <t>粘连性肠梗阻</t>
    </r>
    <r>
      <rPr>
        <sz val="9"/>
        <rFont val="Arial"/>
        <charset val="1"/>
      </rPr>
      <t>,</t>
    </r>
    <r>
      <rPr>
        <sz val="9"/>
        <rFont val="Noto Sans CJK SC"/>
        <charset val="134"/>
      </rPr>
      <t>腹痛</t>
    </r>
    <r>
      <rPr>
        <sz val="9"/>
        <rFont val="Arial"/>
        <charset val="1"/>
      </rPr>
      <t>,</t>
    </r>
    <r>
      <rPr>
        <sz val="9"/>
        <rFont val="Noto Sans CJK SC"/>
        <charset val="134"/>
      </rPr>
      <t>手术的随诊医疗</t>
    </r>
    <r>
      <rPr>
        <sz val="9"/>
        <rFont val="Arial"/>
        <charset val="1"/>
      </rPr>
      <t>(</t>
    </r>
    <r>
      <rPr>
        <sz val="9"/>
        <rFont val="Noto Sans CJK SC"/>
        <charset val="134"/>
      </rPr>
      <t>肠旋转不良术后</t>
    </r>
    <r>
      <rPr>
        <sz val="9"/>
        <rFont val="Arial"/>
        <charset val="1"/>
      </rPr>
      <t>),</t>
    </r>
    <r>
      <rPr>
        <sz val="9"/>
        <rFont val="Noto Sans CJK SC"/>
        <charset val="134"/>
      </rPr>
      <t>变应性鼻炎</t>
    </r>
    <r>
      <rPr>
        <sz val="9"/>
        <rFont val="Arial"/>
        <charset val="1"/>
      </rPr>
      <t>,</t>
    </r>
    <r>
      <rPr>
        <sz val="9"/>
        <rFont val="Noto Sans CJK SC"/>
        <charset val="134"/>
      </rPr>
      <t>鼻病毒感染｜鼻空肠营养管置入术</t>
    </r>
    <r>
      <rPr>
        <sz val="9"/>
        <rFont val="Arial"/>
        <charset val="1"/>
      </rPr>
      <t>+</t>
    </r>
    <r>
      <rPr>
        <sz val="9"/>
        <rFont val="Noto Sans CJK SC"/>
        <charset val="134"/>
      </rPr>
      <t>内镜下十二指肠球囊扩张术</t>
    </r>
    <r>
      <rPr>
        <sz val="9"/>
        <rFont val="Arial"/>
        <charset val="1"/>
      </rPr>
      <t>+</t>
    </r>
    <r>
      <rPr>
        <sz val="9"/>
        <rFont val="Noto Sans CJK SC"/>
        <charset val="134"/>
      </rPr>
      <t>胃镜检查</t>
    </r>
  </si>
  <si>
    <t>类型</t>
  </si>
  <si>
    <t>手术日期</t>
  </si>
  <si>
    <t>模态</t>
  </si>
  <si>
    <t>检查时间</t>
  </si>
  <si>
    <t>检查名称</t>
  </si>
  <si>
    <t>检查所见</t>
  </si>
  <si>
    <t>检查结论</t>
  </si>
  <si>
    <t>程序提示</t>
  </si>
  <si>
    <r>
      <rPr>
        <b/>
        <sz val="10"/>
        <color rgb="FFFFFFFF"/>
        <rFont val="Noto Sans CJK SC"/>
        <charset val="134"/>
      </rPr>
      <t>【填】手术开始时间（时</t>
    </r>
    <r>
      <rPr>
        <b/>
        <sz val="10"/>
        <color rgb="FFFFFFFF"/>
        <rFont val="Arial"/>
        <charset val="1"/>
      </rPr>
      <t>:</t>
    </r>
    <r>
      <rPr>
        <b/>
        <sz val="10"/>
        <color rgb="FFFFFFFF"/>
        <rFont val="Noto Sans CJK SC"/>
        <charset val="134"/>
      </rPr>
      <t>分）</t>
    </r>
  </si>
  <si>
    <t>按时间自动判断</t>
  </si>
  <si>
    <t>【填】备注</t>
  </si>
  <si>
    <t>手术当日</t>
  </si>
  <si>
    <t>2019-05-16</t>
  </si>
  <si>
    <t>CT</t>
  </si>
  <si>
    <r>
      <rPr>
        <sz val="9"/>
        <rFont val="Noto Sans CJK SC"/>
        <charset val="134"/>
      </rPr>
      <t>腹盆</t>
    </r>
    <r>
      <rPr>
        <sz val="9"/>
        <rFont val="Arial"/>
        <charset val="1"/>
      </rPr>
      <t>CT</t>
    </r>
    <r>
      <rPr>
        <sz val="9"/>
        <rFont val="Noto Sans CJK SC"/>
        <charset val="134"/>
      </rPr>
      <t>平扫</t>
    </r>
    <r>
      <rPr>
        <sz val="9"/>
        <rFont val="Arial"/>
        <charset val="1"/>
      </rPr>
      <t>+</t>
    </r>
    <r>
      <rPr>
        <sz val="9"/>
        <rFont val="Noto Sans CJK SC"/>
        <charset val="134"/>
      </rPr>
      <t>三维重建</t>
    </r>
  </si>
  <si>
    <t>肝脾胰及双肾实质未见异常密度灶，大小形态未见异常。胆囊影显示欠佳。肝内外胆管无扩张。中腹部可见“漩涡征”及“中心点征”，肠系膜水肿，腹腔部分肠管内可见造影剂残留影。腹腔及腹膜后未见明显异常肿块影，膀胱充盈，壁光滑。</t>
  </si>
  <si>
    <t>肠旋转不良伴中肠扭转多考虑，请结合临床。</t>
  </si>
  <si>
    <t>术前（保留）</t>
  </si>
  <si>
    <t>超声</t>
  </si>
  <si>
    <r>
      <rPr>
        <sz val="9"/>
        <rFont val="Noto Sans CJK SC"/>
        <charset val="134"/>
      </rPr>
      <t>胃肠道彩超</t>
    </r>
    <r>
      <rPr>
        <sz val="9"/>
        <rFont val="Arial"/>
        <charset val="1"/>
      </rPr>
      <t>(</t>
    </r>
    <r>
      <rPr>
        <sz val="9"/>
        <rFont val="Noto Sans CJK SC"/>
        <charset val="134"/>
      </rPr>
      <t>彩超</t>
    </r>
    <r>
      <rPr>
        <sz val="9"/>
        <rFont val="Arial"/>
        <charset val="1"/>
      </rPr>
      <t>)</t>
    </r>
  </si>
  <si>
    <r>
      <rPr>
        <sz val="9"/>
        <rFont val="Noto Sans CJK SC"/>
        <charset val="134"/>
      </rPr>
      <t>中上腹被大片肠气强反射回声遮盖，余腹肠管扩张明显，肠腔内积液、充满肠内容物样光点群回声，右下腹肠间可见前后径</t>
    </r>
    <r>
      <rPr>
        <sz val="9"/>
        <rFont val="Arial"/>
        <charset val="1"/>
      </rPr>
      <t>1.5cm</t>
    </r>
    <r>
      <rPr>
        <sz val="9"/>
        <rFont val="Noto Sans CJK SC"/>
        <charset val="134"/>
      </rPr>
      <t xml:space="preserve">的液性暗区。
</t>
    </r>
    <r>
      <rPr>
        <sz val="9"/>
        <rFont val="Arial"/>
        <charset val="1"/>
      </rPr>
      <t>CDFI:</t>
    </r>
    <r>
      <rPr>
        <sz val="9"/>
        <rFont val="Noto Sans CJK SC"/>
        <charset val="134"/>
      </rPr>
      <t>上述部位未见明显异常血流信号。</t>
    </r>
  </si>
  <si>
    <t>肠积气。
全腹肠管扩张。（肠梗阻可能）</t>
  </si>
  <si>
    <r>
      <rPr>
        <sz val="9"/>
        <rFont val="Noto Sans CJK SC"/>
        <charset val="134"/>
      </rPr>
      <t>腹盆</t>
    </r>
    <r>
      <rPr>
        <sz val="9"/>
        <rFont val="Arial"/>
        <charset val="1"/>
      </rPr>
      <t>CT</t>
    </r>
    <r>
      <rPr>
        <sz val="9"/>
        <rFont val="Noto Sans CJK SC"/>
        <charset val="134"/>
      </rPr>
      <t>平扫</t>
    </r>
  </si>
  <si>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未见明显异常。腹腔内部分肠管扩张积气积液，并可见气液平面，腹腔内未见明显积液。腹膜后未见明显占位征象。</t>
  </si>
  <si>
    <r>
      <rPr>
        <sz val="9"/>
        <rFont val="Noto Sans CJK SC"/>
        <charset val="134"/>
      </rPr>
      <t>颅脑</t>
    </r>
    <r>
      <rPr>
        <sz val="9"/>
        <rFont val="Arial"/>
        <charset val="1"/>
      </rPr>
      <t>CT</t>
    </r>
    <r>
      <rPr>
        <sz val="9"/>
        <rFont val="Noto Sans CJK SC"/>
        <charset val="134"/>
      </rPr>
      <t>平扫未见明显异常；
肠梗阻，追踪复查。</t>
    </r>
  </si>
  <si>
    <t>2015-08-20</t>
  </si>
  <si>
    <t>胃及十二指肠扩张积气，呈“双泡征”；腹腔肠管显示致密，含气少，肠间隙模糊渗出，局部肠管呈“漩涡状”改变；肝脏形状体积正常，其内密度较均匀，未见明显肿块影；肝内胆管未见明显扩张征象。胆囊可见显示。脾脏及双肾位置、大小、形态及密度未见明显异常改变。胰腺未见明显异常。腹膜后未见明显占位征象。
    双侧大脑半球脑实质未见异常密度灶，脑室系统未见扩大，脑沟裂未见明显增宽。双侧基底节、丘脑及小脑未见异常。中线结构未见移位。骨窗颅骨未见异常。</t>
  </si>
  <si>
    <r>
      <rPr>
        <sz val="9"/>
        <rFont val="Noto Sans CJK SC"/>
        <charset val="134"/>
      </rPr>
      <t>上述异常征象多考虑高位肠闭锁（十二指肠或小肠闭锁）并中腹部肠旋转不良；建议消化道造影进一步检查。
颅脑</t>
    </r>
    <r>
      <rPr>
        <sz val="9"/>
        <rFont val="Arial"/>
        <charset val="1"/>
      </rPr>
      <t>CT</t>
    </r>
    <r>
      <rPr>
        <sz val="9"/>
        <rFont val="Noto Sans CJK SC"/>
        <charset val="134"/>
      </rPr>
      <t>平扫未见明显异常。</t>
    </r>
  </si>
  <si>
    <t>上消化道造影</t>
  </si>
  <si>
    <r>
      <rPr>
        <sz val="9"/>
        <rFont val="Arial"/>
        <charset val="1"/>
      </rPr>
      <t>t</t>
    </r>
    <r>
      <rPr>
        <sz val="9"/>
        <rFont val="Noto Sans CJK SC"/>
        <charset val="134"/>
      </rPr>
      <t>全消化道碘水造影</t>
    </r>
  </si>
  <si>
    <r>
      <rPr>
        <sz val="9"/>
        <rFont val="Noto Sans CJK SC"/>
        <charset val="134"/>
      </rPr>
      <t>片</t>
    </r>
    <r>
      <rPr>
        <sz val="9"/>
        <rFont val="Arial"/>
        <charset val="1"/>
      </rPr>
      <t xml:space="preserve">1-6  </t>
    </r>
    <r>
      <rPr>
        <sz val="9"/>
        <rFont val="Noto Sans CJK SC"/>
        <charset val="134"/>
      </rPr>
      <t>上消化道碘水造影：
食管：边缘光滑，对比剂通过顺利</t>
    </r>
    <r>
      <rPr>
        <sz val="9"/>
        <rFont val="Arial"/>
        <charset val="1"/>
      </rPr>
      <t xml:space="preserve">;
</t>
    </r>
    <r>
      <rPr>
        <sz val="9"/>
        <rFont val="Noto Sans CJK SC"/>
        <charset val="134"/>
      </rPr>
      <t>胃：胃体扩张，蠕动亢进，幽门管处于开放状态</t>
    </r>
    <r>
      <rPr>
        <sz val="9"/>
        <rFont val="Arial"/>
        <charset val="1"/>
      </rPr>
      <t xml:space="preserve">;
</t>
    </r>
    <r>
      <rPr>
        <sz val="9"/>
        <rFont val="Noto Sans CJK SC"/>
        <charset val="134"/>
      </rPr>
      <t>十二指肠：十二指肠球部及球后段肠管明显扩张呈</t>
    </r>
    <r>
      <rPr>
        <sz val="9"/>
        <rFont val="Arial"/>
        <charset val="1"/>
      </rPr>
      <t>"</t>
    </r>
    <r>
      <rPr>
        <sz val="9"/>
        <rFont val="Noto Sans CJK SC"/>
        <charset val="134"/>
      </rPr>
      <t>囊袋状</t>
    </r>
    <r>
      <rPr>
        <sz val="9"/>
        <rFont val="Arial"/>
        <charset val="1"/>
      </rPr>
      <t>"</t>
    </r>
    <r>
      <rPr>
        <sz val="9"/>
        <rFont val="Noto Sans CJK SC"/>
        <charset val="134"/>
      </rPr>
      <t>，对比剂通过受阻。分别于</t>
    </r>
    <r>
      <rPr>
        <sz val="9"/>
        <rFont val="Arial"/>
        <charset val="1"/>
      </rPr>
      <t>1</t>
    </r>
    <r>
      <rPr>
        <sz val="9"/>
        <rFont val="Noto Sans CJK SC"/>
        <charset val="134"/>
      </rPr>
      <t>、</t>
    </r>
    <r>
      <rPr>
        <sz val="9"/>
        <rFont val="Arial"/>
        <charset val="1"/>
      </rPr>
      <t>4</t>
    </r>
    <r>
      <rPr>
        <sz val="9"/>
        <rFont val="Noto Sans CJK SC"/>
        <charset val="134"/>
      </rPr>
      <t>小时后复查，胃及十二指肠扩张明显，未见明显对比剂进入空肠。</t>
    </r>
  </si>
  <si>
    <t>十二指肠梗阻（肠闭锁首先考虑）。</t>
  </si>
  <si>
    <t>2015-09-02</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</si>
  <si>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胃：显示扩张，壁光整，幽门开放可</t>
    </r>
    <r>
      <rPr>
        <sz val="9"/>
        <rFont val="Arial"/>
        <charset val="1"/>
      </rPr>
      <t>;</t>
    </r>
    <r>
      <rPr>
        <sz val="9"/>
        <rFont val="Noto Sans CJK SC"/>
        <charset val="134"/>
      </rPr>
      <t>可见胃食管反流征象。
小肠：十二指肠空肠曲类似</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改变，对比剂通过显示不畅，空肠位于右中下腹。余各组小肠显示通畅，未见梗阻及扩张。
</t>
    </r>
    <r>
      <rPr>
        <sz val="9"/>
        <rFont val="Arial"/>
        <charset val="1"/>
      </rPr>
      <t>5</t>
    </r>
    <r>
      <rPr>
        <sz val="9"/>
        <rFont val="Noto Sans CJK SC"/>
        <charset val="134"/>
      </rPr>
      <t>小时后复查，对比剂已达直肠，结肠框变形，左腹部结肠迂曲，回盲部似位于中上腹。</t>
    </r>
  </si>
  <si>
    <t>十二指肠不全性梗阻考虑（中肠旋转不良？）。建议钡灌检查，观察回盲部位置。</t>
  </si>
  <si>
    <t>肝脏形状体积正常，其内密度较均匀，未见明显肿块影；肝内胆管未见明显扩张征象。胆囊可见显示。脾脏及双肾位置、大小、形态及密度未见明显异常改变。胰腺未见明显异常。腹腔内肠管充气较少，肠间隙模糊显示欠清，腹腔内未见明显积液。膀胱充盈尚可，壁不厚。腹膜后未见明显占位征象。</t>
  </si>
  <si>
    <t>肠管充气少，肠间隙模糊；请结合临床。</t>
  </si>
  <si>
    <t>2017-08-18</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</si>
  <si>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小肠：十二指肠近段显示扩张，十二指肠空肠曲呈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改变，对比剂通过显示不畅，空肠位于右侧腹部。余各组小肠显示通畅，未见梗阻及扩张。
</t>
    </r>
    <r>
      <rPr>
        <sz val="9"/>
        <rFont val="Arial"/>
        <charset val="1"/>
      </rPr>
      <t>4</t>
    </r>
    <r>
      <rPr>
        <sz val="9"/>
        <rFont val="Noto Sans CJK SC"/>
        <charset val="134"/>
      </rPr>
      <t>小时后复查，对比剂已达直肠，回盲部位置显示不清。</t>
    </r>
  </si>
  <si>
    <t>中肠旋转不良并十二指肠不全性梗阻。</t>
  </si>
  <si>
    <t>2013-10-11</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</si>
  <si>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小肠：十二指肠空肠曲似呈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5</t>
    </r>
    <r>
      <rPr>
        <sz val="9"/>
        <rFont val="Noto Sans CJK SC"/>
        <charset val="134"/>
      </rPr>
      <t>小时后复查，对比剂已达直肠，见回盲部位于中腹部偏右。</t>
    </r>
  </si>
  <si>
    <t>中肠旋转不良并十二指肠不全性梗阻首先考虑。</t>
  </si>
  <si>
    <t>2015-04-02</t>
  </si>
  <si>
    <r>
      <rPr>
        <sz val="9"/>
        <rFont val="Noto Sans CJK SC"/>
        <charset val="134"/>
      </rPr>
      <t>上腹部</t>
    </r>
    <r>
      <rPr>
        <sz val="9"/>
        <rFont val="Arial"/>
        <charset val="1"/>
      </rPr>
      <t>(</t>
    </r>
    <r>
      <rPr>
        <sz val="9"/>
        <rFont val="Noto Sans CJK SC"/>
        <charset val="134"/>
      </rPr>
      <t>含肝胆脾胰</t>
    </r>
    <r>
      <rPr>
        <sz val="9"/>
        <rFont val="Arial"/>
        <charset val="1"/>
      </rPr>
      <t>)CT</t>
    </r>
    <r>
      <rPr>
        <sz val="9"/>
        <rFont val="Noto Sans CJK SC"/>
        <charset val="134"/>
      </rPr>
      <t>平扫</t>
    </r>
  </si>
  <si>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形态异常，其间见裂隙状低密度影穿过。双肾位置、大小、形态及密度未见明显异常改变。腹腔内大部分肠管扩张积液积气，部分肠壁见串珠状低密度气体影。腹腔内见低密度积液影。腹膜后未见明显占位征象。</t>
  </si>
  <si>
    <r>
      <rPr>
        <sz val="9"/>
        <rFont val="Noto Sans CJK SC"/>
        <charset val="134"/>
      </rPr>
      <t>颅脑</t>
    </r>
    <r>
      <rPr>
        <sz val="9"/>
        <rFont val="Arial"/>
        <charset val="1"/>
      </rPr>
      <t>CT</t>
    </r>
    <r>
      <rPr>
        <sz val="9"/>
        <rFont val="Noto Sans CJK SC"/>
        <charset val="134"/>
      </rPr>
      <t>平扫未见明显异常。 
肠梗阻，腹腔积液，多考虑</t>
    </r>
    <r>
      <rPr>
        <sz val="9"/>
        <rFont val="Arial"/>
        <charset val="1"/>
      </rPr>
      <t>NEC</t>
    </r>
    <r>
      <rPr>
        <sz val="9"/>
        <rFont val="Noto Sans CJK SC"/>
        <charset val="134"/>
      </rPr>
      <t>所致；
脾脏异常表现，考虑副脾或裂伤，请结合临床，建议</t>
    </r>
    <r>
      <rPr>
        <sz val="9"/>
        <rFont val="Arial"/>
        <charset val="1"/>
      </rPr>
      <t>CT</t>
    </r>
    <r>
      <rPr>
        <sz val="9"/>
        <rFont val="Noto Sans CJK SC"/>
        <charset val="134"/>
      </rPr>
      <t>增强检查。</t>
    </r>
  </si>
  <si>
    <r>
      <rPr>
        <sz val="9"/>
        <rFont val="Noto Sans CJK SC"/>
        <charset val="134"/>
      </rPr>
      <t>下腹部</t>
    </r>
    <r>
      <rPr>
        <sz val="9"/>
        <rFont val="Arial"/>
        <charset val="1"/>
      </rPr>
      <t>CT</t>
    </r>
    <r>
      <rPr>
        <sz val="9"/>
        <rFont val="Noto Sans CJK SC"/>
        <charset val="134"/>
      </rPr>
      <t>平扫</t>
    </r>
  </si>
  <si>
    <t>2013-03-19</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</si>
  <si>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小肠：十二指肠扩张，对比剂通过显示困难，上组空肠位于右中下腹。余各组小肠显示通畅，未见梗阻及扩张。
</t>
    </r>
    <r>
      <rPr>
        <sz val="9"/>
        <rFont val="Arial"/>
        <charset val="1"/>
      </rPr>
      <t>80</t>
    </r>
    <r>
      <rPr>
        <sz val="9"/>
        <rFont val="Noto Sans CJK SC"/>
        <charset val="134"/>
      </rPr>
      <t>分钟后复查，对比剂已达直肠，回盲部显示欠佳。</t>
    </r>
  </si>
  <si>
    <t>十二指肠不全性梗阻。中肠旋转不良首先考虑。</t>
  </si>
  <si>
    <t>2013-11-07</t>
  </si>
  <si>
    <r>
      <rPr>
        <sz val="9"/>
        <rFont val="Noto Sans CJK SC"/>
        <charset val="134"/>
      </rPr>
      <t>左肾区未见明显正常肾脏显示，左侧肾上腺见小点状高密度钙化影，</t>
    </r>
    <r>
      <rPr>
        <sz val="9"/>
        <rFont val="Arial"/>
        <charset val="1"/>
      </rPr>
      <t>CT</t>
    </r>
    <r>
      <rPr>
        <sz val="9"/>
        <rFont val="Noto Sans CJK SC"/>
        <charset val="134"/>
      </rPr>
      <t>值约</t>
    </r>
    <r>
      <rPr>
        <sz val="9"/>
        <rFont val="Arial"/>
        <charset val="1"/>
      </rPr>
      <t>420HU</t>
    </r>
    <r>
      <rPr>
        <sz val="9"/>
        <rFont val="Noto Sans CJK SC"/>
        <charset val="134"/>
      </rPr>
      <t>。右肾体积稍增大，形状、密度未见明显异常。腹腔部分肠管扩张积气积液，可见气液平面；腹腔部分肠壁增厚，厚约</t>
    </r>
    <r>
      <rPr>
        <sz val="9"/>
        <rFont val="Arial"/>
        <charset val="1"/>
      </rPr>
      <t>5mm</t>
    </r>
    <r>
      <rPr>
        <sz val="9"/>
        <rFont val="Noto Sans CJK SC"/>
        <charset val="134"/>
      </rPr>
      <t>。肝脾实质未见明显异常。盆腔内见低密度积液影。膀胱未见明显异常。</t>
    </r>
  </si>
  <si>
    <t>肠梗阻；腹腔部分肠壁增厚；盆腔积液；左肾未见明显显示，左侧肾上腺小点状钙化影。请结合临床。</t>
  </si>
  <si>
    <t>2019-05-17</t>
  </si>
  <si>
    <r>
      <rPr>
        <sz val="9"/>
        <rFont val="Noto Sans CJK SC"/>
        <charset val="134"/>
      </rPr>
      <t>肝脾胰及双肾实质未见异常密度灶，大小形态未见异常。胆囊可见。肝内外胆管无扩张。中腹部可见“漩涡征”及“中心点征”，周围肠系膜水肿，腹腔及腹膜后未见明显异常肿块影，膀胱充盈，壁光滑。右侧腹股沟管增宽，宽径约</t>
    </r>
    <r>
      <rPr>
        <sz val="9"/>
        <rFont val="Arial"/>
        <charset val="1"/>
      </rPr>
      <t>13mm</t>
    </r>
    <r>
      <rPr>
        <sz val="9"/>
        <rFont val="Noto Sans CJK SC"/>
        <charset val="134"/>
      </rPr>
      <t>，其内可见团片状软组织密度影，向后与腹腔相通。</t>
    </r>
  </si>
  <si>
    <t>肠旋转不良伴中肠扭转多考虑，请结合临床。
右侧腹股沟疝。</t>
  </si>
  <si>
    <t>2020-05-11</t>
  </si>
  <si>
    <r>
      <rPr>
        <sz val="9"/>
        <rFont val="Noto Sans CJK SC"/>
        <charset val="134"/>
      </rPr>
      <t xml:space="preserve">全消化道碘水造影 </t>
    </r>
    <r>
      <rPr>
        <sz val="9"/>
        <rFont val="Arial"/>
        <charset val="1"/>
      </rPr>
      <t>(DR)</t>
    </r>
  </si>
  <si>
    <r>
      <rPr>
        <sz val="9"/>
        <rFont val="Noto Sans CJK SC"/>
        <charset val="134"/>
      </rPr>
      <t>片</t>
    </r>
    <r>
      <rPr>
        <sz val="9"/>
        <rFont val="Arial"/>
        <charset val="1"/>
      </rPr>
      <t xml:space="preserve">1-6  </t>
    </r>
    <r>
      <rPr>
        <sz val="9"/>
        <rFont val="Noto Sans CJK SC"/>
        <charset val="134"/>
      </rPr>
      <t>消化道碘水造影：
“小肠闭锁”术后：
食管：边缘光滑，对比剂通过顺利</t>
    </r>
    <r>
      <rPr>
        <sz val="9"/>
        <rFont val="Arial"/>
        <charset val="1"/>
      </rPr>
      <t xml:space="preserve">;
</t>
    </r>
    <r>
      <rPr>
        <sz val="9"/>
        <rFont val="Noto Sans CJK SC"/>
        <charset val="134"/>
      </rPr>
      <t>胃：呈</t>
    </r>
    <r>
      <rPr>
        <sz val="9"/>
        <rFont val="Arial"/>
        <charset val="1"/>
      </rPr>
      <t>"</t>
    </r>
    <r>
      <rPr>
        <sz val="9"/>
        <rFont val="Noto Sans CJK SC"/>
        <charset val="134"/>
      </rPr>
      <t>弓虾</t>
    </r>
    <r>
      <rPr>
        <sz val="9"/>
        <rFont val="Arial"/>
        <charset val="1"/>
      </rPr>
      <t>"</t>
    </r>
    <r>
      <rPr>
        <sz val="9"/>
        <rFont val="Noto Sans CJK SC"/>
        <charset val="134"/>
      </rPr>
      <t>状，胃大弯向前上方翻转，幽门管斜向右下方，其通过正常</t>
    </r>
    <r>
      <rPr>
        <sz val="9"/>
        <rFont val="Arial"/>
        <charset val="1"/>
      </rPr>
      <t xml:space="preserve">;
</t>
    </r>
    <r>
      <rPr>
        <sz val="9"/>
        <rFont val="Noto Sans CJK SC"/>
        <charset val="134"/>
      </rPr>
      <t>小肠：十二指肠圈形态正常，肠腔显示通畅，未见明显扩张，余组小肠明显扩张，对比剂通过慢。
约</t>
    </r>
    <r>
      <rPr>
        <sz val="9"/>
        <rFont val="Arial"/>
        <charset val="1"/>
      </rPr>
      <t>4</t>
    </r>
    <r>
      <rPr>
        <sz val="9"/>
        <rFont val="Noto Sans CJK SC"/>
        <charset val="134"/>
      </rPr>
      <t>小时后复查，对比剂到达直肠。结肠显示欠佳。</t>
    </r>
  </si>
  <si>
    <r>
      <rPr>
        <sz val="9"/>
        <rFont val="Noto Sans CJK SC"/>
        <charset val="134"/>
      </rPr>
      <t>“小肠闭锁”术后，与前片（</t>
    </r>
    <r>
      <rPr>
        <sz val="9"/>
        <rFont val="Arial"/>
        <charset val="1"/>
      </rPr>
      <t>5.4</t>
    </r>
    <r>
      <rPr>
        <sz val="9"/>
        <rFont val="Noto Sans CJK SC"/>
        <charset val="134"/>
      </rPr>
      <t>碘水造影）比较：肠管胀气扩张未见明显变化。</t>
    </r>
  </si>
  <si>
    <r>
      <rPr>
        <sz val="9"/>
        <rFont val="Noto Sans CJK SC"/>
        <charset val="134"/>
      </rPr>
      <t>报告含</t>
    </r>
    <r>
      <rPr>
        <sz val="9"/>
        <rFont val="Arial"/>
        <charset val="1"/>
      </rPr>
      <t>"</t>
    </r>
    <r>
      <rPr>
        <sz val="9"/>
        <rFont val="Noto Sans CJK SC"/>
        <charset val="134"/>
      </rPr>
      <t>术后</t>
    </r>
    <r>
      <rPr>
        <sz val="9"/>
        <rFont val="Arial"/>
        <charset val="1"/>
      </rPr>
      <t>/</t>
    </r>
    <r>
      <rPr>
        <sz val="9"/>
        <rFont val="Noto Sans CJK SC"/>
        <charset val="134"/>
      </rPr>
      <t>吻合口</t>
    </r>
    <r>
      <rPr>
        <sz val="9"/>
        <rFont val="Arial"/>
        <charset val="1"/>
      </rPr>
      <t>"</t>
    </r>
    <r>
      <rPr>
        <sz val="9"/>
        <rFont val="Noto Sans CJK SC"/>
        <charset val="134"/>
      </rPr>
      <t>字样，可能是术后检查</t>
    </r>
  </si>
  <si>
    <t>术后（剔除）</t>
  </si>
  <si>
    <t>2021-03-11</t>
  </si>
  <si>
    <r>
      <rPr>
        <sz val="9"/>
        <rFont val="Noto Sans CJK SC"/>
        <charset val="134"/>
      </rPr>
      <t>全消化道碘水造影</t>
    </r>
    <r>
      <rPr>
        <sz val="9"/>
        <rFont val="Arial"/>
        <charset val="1"/>
      </rPr>
      <t>(DR)</t>
    </r>
  </si>
  <si>
    <r>
      <rPr>
        <sz val="9"/>
        <rFont val="Noto Sans CJK SC"/>
        <charset val="134"/>
      </rPr>
      <t>片</t>
    </r>
    <r>
      <rPr>
        <sz val="9"/>
        <rFont val="Arial"/>
        <charset val="1"/>
      </rPr>
      <t xml:space="preserve">1-4  </t>
    </r>
    <r>
      <rPr>
        <sz val="9"/>
        <rFont val="Noto Sans CJK SC"/>
        <charset val="134"/>
      </rPr>
      <t>消化道碘水造影：
食管：边缘光滑，对比剂通过顺利</t>
    </r>
    <r>
      <rPr>
        <sz val="9"/>
        <rFont val="Arial"/>
        <charset val="1"/>
      </rPr>
      <t xml:space="preserve">;
</t>
    </r>
    <r>
      <rPr>
        <sz val="9"/>
        <rFont val="Noto Sans CJK SC"/>
        <charset val="134"/>
      </rPr>
      <t>胃：胃呈水平位，贲门位置正常，</t>
    </r>
    <r>
      <rPr>
        <sz val="9"/>
        <rFont val="Arial"/>
        <charset val="1"/>
      </rPr>
      <t>His</t>
    </r>
    <r>
      <rPr>
        <sz val="9"/>
        <rFont val="Noto Sans CJK SC"/>
        <charset val="134"/>
      </rPr>
      <t>角增大，可见胃食管返流，幽门开放正常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改变，对比剂通过尚可，上组空肠位于右侧腹。余各组小肠显示通畅，未见梗阻及扩张。
约</t>
    </r>
    <r>
      <rPr>
        <sz val="9"/>
        <rFont val="Arial"/>
        <charset val="1"/>
      </rPr>
      <t>2</t>
    </r>
    <r>
      <rPr>
        <sz val="9"/>
        <rFont val="Noto Sans CJK SC"/>
        <charset val="134"/>
      </rPr>
      <t>小时后复查，对比剂已达直肠，回盲部似位于右上腹。</t>
    </r>
  </si>
  <si>
    <t>中肠旋转不良多考虑；建议钡剂灌肠检查。
胃食管返流。</t>
  </si>
  <si>
    <t>2020-05-16</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</si>
  <si>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t>
    </r>
    <r>
      <rPr>
        <sz val="9"/>
        <rFont val="Noto Sans CJK SC"/>
        <charset val="134"/>
      </rPr>
      <t>可见胃食管反流。
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改变，对比剂通过不良，上组空肠位于右侧腹。余各组小肠显示通畅，未见梗阻及扩张。
</t>
    </r>
    <r>
      <rPr>
        <sz val="9"/>
        <rFont val="Arial"/>
        <charset val="1"/>
      </rPr>
      <t>2</t>
    </r>
    <r>
      <rPr>
        <sz val="9"/>
        <rFont val="Noto Sans CJK SC"/>
        <charset val="134"/>
      </rPr>
      <t>小时后复查，对比剂已达结肠，结肠位于左侧腹，回盲部位置显示不清。</t>
    </r>
  </si>
  <si>
    <t>中肠旋转不良合并中肠扭转。</t>
  </si>
  <si>
    <t>2013-02-07</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</si>
  <si>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胃：显示扩张，位置正常，壁光整，幽门开放正常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改变，对比剂通过欠通畅，各组小肠显示通畅，未见梗阻及扩张。
</t>
    </r>
    <r>
      <rPr>
        <sz val="9"/>
        <rFont val="Arial"/>
        <charset val="1"/>
      </rPr>
      <t>5</t>
    </r>
    <r>
      <rPr>
        <sz val="9"/>
        <rFont val="Noto Sans CJK SC"/>
        <charset val="134"/>
      </rPr>
      <t>小时后复查，对比剂已达直肠，见回盲部位于中腹部偏右。</t>
    </r>
  </si>
  <si>
    <t>中肠旋转不良。</t>
  </si>
  <si>
    <r>
      <rPr>
        <sz val="9"/>
        <rFont val="Noto Sans CJK SC"/>
        <charset val="134"/>
      </rPr>
      <t>肝脏形状体积正常，其内密度较均匀，未见明显肿块影；肝内胆管未见明显扩张征象。胆囊可见显示。脾脏及双肾位置、大小、形态及密度未见明显异常改变。胰腺未见明显异常。腹腔内十二指肠肠管扩张积液积气，呈三泡征，远端肠管未见积气征象，远端结肠细小，约</t>
    </r>
    <r>
      <rPr>
        <sz val="9"/>
        <rFont val="Arial"/>
        <charset val="1"/>
      </rPr>
      <t>5mm</t>
    </r>
    <r>
      <rPr>
        <sz val="9"/>
        <rFont val="Noto Sans CJK SC"/>
        <charset val="134"/>
      </rPr>
      <t>，肠管间隙模糊，局部肠管内见高密度内容物影，腹腔少许积液。腹膜后未见明显占位征象。</t>
    </r>
  </si>
  <si>
    <t>腹腔内十二指肠肠管扩张积液积气，远端肠管未见积气征象，呈三泡征，十二指肠梗阻多考虑；
肠管间隙模糊，腹腔少许积液，远端肠管细小，请结合临床定性。</t>
  </si>
  <si>
    <t>2020-04-26</t>
  </si>
  <si>
    <r>
      <rPr>
        <sz val="9"/>
        <rFont val="Noto Sans CJK SC"/>
        <charset val="134"/>
      </rPr>
      <t>肝脏彩超</t>
    </r>
    <r>
      <rPr>
        <sz val="9"/>
        <rFont val="Arial"/>
        <charset val="1"/>
      </rPr>
      <t>(</t>
    </r>
    <r>
      <rPr>
        <sz val="9"/>
        <rFont val="Noto Sans CJK SC"/>
        <charset val="134"/>
      </rPr>
      <t>彩超</t>
    </r>
    <r>
      <rPr>
        <sz val="9"/>
        <rFont val="Arial"/>
        <charset val="1"/>
      </rPr>
      <t>),</t>
    </r>
    <r>
      <rPr>
        <sz val="9"/>
        <rFont val="Noto Sans CJK SC"/>
        <charset val="134"/>
      </rPr>
      <t>双肾及肾血管彩超</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脾脏彩超</t>
    </r>
    <r>
      <rPr>
        <sz val="9"/>
        <rFont val="Arial"/>
        <charset val="1"/>
      </rPr>
      <t>(</t>
    </r>
    <r>
      <rPr>
        <sz val="9"/>
        <rFont val="Noto Sans CJK SC"/>
        <charset val="134"/>
      </rPr>
      <t>彩超</t>
    </r>
    <r>
      <rPr>
        <sz val="9"/>
        <rFont val="Arial"/>
        <charset val="1"/>
      </rPr>
      <t>)</t>
    </r>
  </si>
  <si>
    <r>
      <rPr>
        <sz val="9"/>
        <rFont val="Noto Sans CJK SC"/>
        <charset val="134"/>
      </rPr>
      <t>肝脏切面形态正常，肝内光点分布均匀，血管走向清晰，肝右肋下</t>
    </r>
    <r>
      <rPr>
        <sz val="9"/>
        <rFont val="Arial"/>
        <charset val="1"/>
      </rPr>
      <t>2.5cm</t>
    </r>
    <r>
      <rPr>
        <sz val="9"/>
        <rFont val="Noto Sans CJK SC"/>
        <charset val="134"/>
      </rPr>
      <t>。
脾脏切面形态稍饱满，左肋下</t>
    </r>
    <r>
      <rPr>
        <sz val="9"/>
        <rFont val="Arial"/>
        <charset val="1"/>
      </rPr>
      <t>1.1cm</t>
    </r>
    <r>
      <rPr>
        <sz val="9"/>
        <rFont val="Noto Sans CJK SC"/>
        <charset val="134"/>
      </rPr>
      <t>，厚</t>
    </r>
    <r>
      <rPr>
        <sz val="9"/>
        <rFont val="Arial"/>
        <charset val="1"/>
      </rPr>
      <t>1.5cm</t>
    </r>
    <r>
      <rPr>
        <sz val="9"/>
        <rFont val="Noto Sans CJK SC"/>
        <charset val="134"/>
      </rPr>
      <t>。
双肾切面形态正常，左肾：</t>
    </r>
    <r>
      <rPr>
        <sz val="9"/>
        <rFont val="Arial"/>
        <charset val="1"/>
      </rPr>
      <t>4.6cm×2.2cm</t>
    </r>
    <r>
      <rPr>
        <sz val="9"/>
        <rFont val="Noto Sans CJK SC"/>
        <charset val="134"/>
      </rPr>
      <t>，右肾：</t>
    </r>
    <r>
      <rPr>
        <sz val="9"/>
        <rFont val="Arial"/>
        <charset val="1"/>
      </rPr>
      <t>4.5cm×2.3cm</t>
    </r>
    <r>
      <rPr>
        <sz val="9"/>
        <rFont val="Noto Sans CJK SC"/>
        <charset val="134"/>
      </rPr>
      <t xml:space="preserve">，集合系统光点群未见明显分离，肾实质皮质回声稍强，皮随质分界欠清。
腹膜后大血管旁及其间隙内未见明显局限性肿块图像。
</t>
    </r>
    <r>
      <rPr>
        <sz val="9"/>
        <rFont val="Arial"/>
        <charset val="1"/>
      </rPr>
      <t>CDFI:</t>
    </r>
    <r>
      <rPr>
        <sz val="9"/>
        <rFont val="Noto Sans CJK SC"/>
        <charset val="134"/>
      </rPr>
      <t>患儿哭闹，上述部位血流信号杂乱。</t>
    </r>
  </si>
  <si>
    <r>
      <rPr>
        <sz val="9"/>
        <rFont val="Noto Sans CJK SC"/>
        <charset val="134"/>
      </rPr>
      <t>肝右肋下</t>
    </r>
    <r>
      <rPr>
        <sz val="9"/>
        <rFont val="Arial"/>
        <charset val="1"/>
      </rPr>
      <t>2.5cm</t>
    </r>
    <r>
      <rPr>
        <sz val="9"/>
        <rFont val="Noto Sans CJK SC"/>
        <charset val="134"/>
      </rPr>
      <t>。
脾脏稍大。
双肾实质回声稍强。
腹膜后未见明显异常。</t>
    </r>
  </si>
  <si>
    <t>2017-04-18</t>
  </si>
  <si>
    <r>
      <rPr>
        <sz val="9"/>
        <rFont val="Noto Sans CJK SC"/>
        <charset val="134"/>
      </rPr>
      <t>双侧额顶叶脑白质密度减低，</t>
    </r>
    <r>
      <rPr>
        <sz val="9"/>
        <rFont val="Arial"/>
        <charset val="1"/>
      </rPr>
      <t>CT</t>
    </r>
    <r>
      <rPr>
        <sz val="9"/>
        <rFont val="Noto Sans CJK SC"/>
        <charset val="134"/>
      </rPr>
      <t>值约</t>
    </r>
    <r>
      <rPr>
        <sz val="9"/>
        <rFont val="Arial"/>
        <charset val="1"/>
      </rPr>
      <t>16HU</t>
    </r>
    <r>
      <rPr>
        <sz val="9"/>
        <rFont val="Noto Sans CJK SC"/>
        <charset val="134"/>
      </rPr>
      <t>，脑室系统未见扩大，脑沟裂未见明显增宽。双侧基底节、丘脑及小脑未见异常。中线结构未见移位。透明隔间腔宽约</t>
    </r>
    <r>
      <rPr>
        <sz val="9"/>
        <rFont val="Arial"/>
        <charset val="1"/>
      </rPr>
      <t>10mm</t>
    </r>
    <r>
      <rPr>
        <sz val="9"/>
        <rFont val="Noto Sans CJK SC"/>
        <charset val="134"/>
      </rPr>
      <t>。
肝脏形状体积正常，其内密度较均匀，未见明显肿块影；肝内胆管未见明显扩张征象。胆囊可见显示。脾脏及双肾位置、大小、形态及密度未见明显异常改变。胰腺未见明显异常。腹腔内部分肠管扩张积液，肠壁可见小气泡影，呈串珠样改变，腹腔及盆腔内见低密度积液影。腹膜后未见明显占位征象。</t>
    </r>
  </si>
  <si>
    <r>
      <rPr>
        <sz val="9"/>
        <rFont val="Noto Sans CJK SC"/>
        <charset val="134"/>
      </rPr>
      <t>双侧额顶叶脑白质密度稍低，请结合临床，必要时</t>
    </r>
    <r>
      <rPr>
        <sz val="9"/>
        <rFont val="Arial"/>
        <charset val="1"/>
      </rPr>
      <t>MR</t>
    </r>
    <r>
      <rPr>
        <sz val="9"/>
        <rFont val="Noto Sans CJK SC"/>
        <charset val="134"/>
      </rPr>
      <t xml:space="preserve">扫描；
</t>
    </r>
    <r>
      <rPr>
        <sz val="9"/>
        <rFont val="Arial"/>
        <charset val="1"/>
      </rPr>
      <t>NEC</t>
    </r>
    <r>
      <rPr>
        <sz val="9"/>
        <rFont val="Noto Sans CJK SC"/>
        <charset val="134"/>
      </rPr>
      <t>多考虑；部分肠管扩张积液；腹盆腔积液；请结合临床。</t>
    </r>
  </si>
  <si>
    <t>2017-08-17</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</si>
  <si>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小肠：十二指肠近端稍显扩张</t>
    </r>
    <r>
      <rPr>
        <sz val="9"/>
        <rFont val="Arial"/>
        <charset val="1"/>
      </rPr>
      <t>,</t>
    </r>
    <r>
      <rPr>
        <sz val="9"/>
        <rFont val="Noto Sans CJK SC"/>
        <charset val="134"/>
      </rPr>
      <t>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改变，对比剂通过不畅，空肠位于右中腹部。余各组小肠显示通畅，未见梗阻及扩张。
</t>
    </r>
    <r>
      <rPr>
        <sz val="9"/>
        <rFont val="Arial"/>
        <charset val="1"/>
      </rPr>
      <t>4</t>
    </r>
    <r>
      <rPr>
        <sz val="9"/>
        <rFont val="Noto Sans CJK SC"/>
        <charset val="134"/>
      </rPr>
      <t>小时后复查，对比剂已达直肠，未见正常结肠框形态</t>
    </r>
    <r>
      <rPr>
        <sz val="9"/>
        <rFont val="Arial"/>
        <charset val="1"/>
      </rPr>
      <t>,</t>
    </r>
    <r>
      <rPr>
        <sz val="9"/>
        <rFont val="Noto Sans CJK SC"/>
        <charset val="134"/>
      </rPr>
      <t>结肠大部迂曲于左侧腹部</t>
    </r>
    <r>
      <rPr>
        <sz val="9"/>
        <rFont val="Arial"/>
        <charset val="1"/>
      </rPr>
      <t>,</t>
    </r>
    <r>
      <rPr>
        <sz val="9"/>
        <rFont val="Noto Sans CJK SC"/>
        <charset val="134"/>
      </rPr>
      <t>回盲部位置显示不清。</t>
    </r>
  </si>
  <si>
    <t>2019-04-01</t>
  </si>
  <si>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床旁彩色多普勒超声检查</t>
    </r>
  </si>
  <si>
    <r>
      <rPr>
        <sz val="9"/>
        <rFont val="Noto Sans CJK SC"/>
        <charset val="134"/>
      </rPr>
      <t xml:space="preserve">急诊床边检查：
全腹腔内可见大量肠气强反射回声，后方结构显示不清。
</t>
    </r>
    <r>
      <rPr>
        <sz val="9"/>
        <rFont val="Arial"/>
        <charset val="1"/>
      </rPr>
      <t>CDFI:</t>
    </r>
    <r>
      <rPr>
        <sz val="9"/>
        <rFont val="Noto Sans CJK SC"/>
        <charset val="134"/>
      </rPr>
      <t>上述部位未见异常血流信号。</t>
    </r>
  </si>
  <si>
    <t>全腹大量肠积气。</t>
  </si>
  <si>
    <t>2014-12-30</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</si>
  <si>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小肠：十二指肠空肠曲稍显扩张，呈</t>
    </r>
    <r>
      <rPr>
        <sz val="9"/>
        <rFont val="Arial"/>
        <charset val="1"/>
      </rPr>
      <t>"</t>
    </r>
    <r>
      <rPr>
        <sz val="9"/>
        <rFont val="Noto Sans CJK SC"/>
        <charset val="134"/>
      </rPr>
      <t>螺旋状</t>
    </r>
    <r>
      <rPr>
        <sz val="9"/>
        <rFont val="Arial"/>
        <charset val="1"/>
      </rPr>
      <t>"</t>
    </r>
    <r>
      <rPr>
        <sz val="9"/>
        <rFont val="Noto Sans CJK SC"/>
        <charset val="134"/>
      </rPr>
      <t xml:space="preserve">改变，上组空肠偏向右中腹。余各组小肠显示通畅，未见梗阻及扩张。
</t>
    </r>
    <r>
      <rPr>
        <sz val="9"/>
        <rFont val="Arial"/>
        <charset val="1"/>
      </rPr>
      <t>120</t>
    </r>
    <r>
      <rPr>
        <sz val="9"/>
        <rFont val="Noto Sans CJK SC"/>
        <charset val="134"/>
      </rPr>
      <t>分钟后复查，对比剂已达直肠，似见回盲部位于中上腹。</t>
    </r>
  </si>
  <si>
    <t>中肠旋转不良考虑。</t>
  </si>
  <si>
    <t>2015-02-18</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</si>
  <si>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胃：胃体显示扩张，壁光整，幽门开放正常</t>
    </r>
    <r>
      <rPr>
        <sz val="9"/>
        <rFont val="Arial"/>
        <charset val="1"/>
      </rPr>
      <t xml:space="preserve">;
</t>
    </r>
    <r>
      <rPr>
        <sz val="9"/>
        <rFont val="Noto Sans CJK SC"/>
        <charset val="134"/>
      </rPr>
      <t xml:space="preserve">小肠：十二指肠降对比剂通过显示不畅，上组空肠位于中腹部。余各组小肠显示通畅，未见梗阻及扩张。
</t>
    </r>
    <r>
      <rPr>
        <sz val="9"/>
        <rFont val="Arial"/>
        <charset val="1"/>
      </rPr>
      <t>1.5</t>
    </r>
    <r>
      <rPr>
        <sz val="9"/>
        <rFont val="Noto Sans CJK SC"/>
        <charset val="134"/>
      </rPr>
      <t>小时后复查，胃体仍显示扩张。</t>
    </r>
  </si>
  <si>
    <t>十二指肠不全性梗阻（中肠旋转不良？）</t>
  </si>
  <si>
    <t>2018-02-02</t>
  </si>
  <si>
    <t>双侧大脑半球脑实质未见异常密度灶，脑室系统未见扩大，脑沟裂未见明显增宽。双侧基底节、丘脑及小脑未见异常。中线结构未见移位。
纵隔窗前上纵隔见软组织密度胸腺影显示，其内未见异常密度灶，体积未见增大或明显缩小。右侧膈面抬高，部分肝脏及肠管可见向上至右侧胸腔。纵膈向左移位。
肺窗显示两肺容积较小，肺实质内未见明显异常密度影。右侧支气管受压推移。
肝脏形态异常，密度较均匀，未见明显肿块影；肝内胆管未见明显扩张征象。脾脏及双肾位置、大小、形态及密度未见明显异常改变。腹腔内肠管积气，腹腔内未见明显积液。腹膜后未见明显占位征象。</t>
  </si>
  <si>
    <r>
      <rPr>
        <sz val="9"/>
        <rFont val="Noto Sans CJK SC"/>
        <charset val="134"/>
      </rPr>
      <t>颅脑</t>
    </r>
    <r>
      <rPr>
        <sz val="9"/>
        <rFont val="Arial"/>
        <charset val="1"/>
      </rPr>
      <t>CT</t>
    </r>
    <r>
      <rPr>
        <sz val="9"/>
        <rFont val="Noto Sans CJK SC"/>
        <charset val="134"/>
      </rPr>
      <t>平扫未见明显异常。 
双肺容积小，纵膈左移，右侧膈疝或膈膨升多考虑。
大部分肠管积气；请结合临床。</t>
    </r>
  </si>
  <si>
    <r>
      <rPr>
        <sz val="9"/>
        <rFont val="Noto Sans CJK SC"/>
        <charset val="134"/>
      </rPr>
      <t>消化道碘水造影：
肝脏及部分回肠占据右侧胸腔中下部，右肺组织受压上移，纵隔向左移位。
食管：边缘光滑，对比剂通过顺利</t>
    </r>
    <r>
      <rPr>
        <sz val="9"/>
        <rFont val="Arial"/>
        <charset val="1"/>
      </rPr>
      <t xml:space="preserve">;
</t>
    </r>
    <r>
      <rPr>
        <sz val="9"/>
        <rFont val="Noto Sans CJK SC"/>
        <charset val="134"/>
      </rPr>
      <t>胃：位于中腹部，形态尚正常，壁光整，幽门开放正常</t>
    </r>
    <r>
      <rPr>
        <sz val="9"/>
        <rFont val="Arial"/>
        <charset val="1"/>
      </rPr>
      <t xml:space="preserve">;
</t>
    </r>
    <r>
      <rPr>
        <sz val="9"/>
        <rFont val="Noto Sans CJK SC"/>
        <charset val="134"/>
      </rPr>
      <t xml:space="preserve">十二指肠：十二指肠圈形态尚存，稍向右移，球部形态正常，对比剂通过顺利；
小肠：空肠位于中腹部，部分回肠疝入右侧胸腔，显示通畅，未见梗阻及扩张。
</t>
    </r>
    <r>
      <rPr>
        <sz val="9"/>
        <rFont val="Arial"/>
        <charset val="1"/>
      </rPr>
      <t>4</t>
    </r>
    <r>
      <rPr>
        <sz val="9"/>
        <rFont val="Noto Sans CJK SC"/>
        <charset val="134"/>
      </rPr>
      <t>小时后复查，对比剂已达结肠，结肠大部位于右侧胸腔，部分结肠疝入右侧胸腔，回盲部位置显示不清。</t>
    </r>
  </si>
  <si>
    <t>右侧膈疝首先考虑。</t>
  </si>
  <si>
    <t>2018-12-28</t>
  </si>
  <si>
    <r>
      <rPr>
        <sz val="9"/>
        <rFont val="Noto Sans CJK SC"/>
        <charset val="134"/>
      </rPr>
      <t>腹盆</t>
    </r>
    <r>
      <rPr>
        <sz val="9"/>
        <rFont val="Arial"/>
        <charset val="1"/>
      </rPr>
      <t>CT</t>
    </r>
    <r>
      <rPr>
        <sz val="9"/>
        <rFont val="Noto Sans CJK SC"/>
        <charset val="134"/>
      </rPr>
      <t>平扫＋增强</t>
    </r>
  </si>
  <si>
    <r>
      <rPr>
        <sz val="9"/>
        <rFont val="Noto Sans CJK SC"/>
        <charset val="134"/>
      </rPr>
      <t>肝脾胰及双肾实质未见异常密度灶，大小形态未见异常。胆囊可见显示</t>
    </r>
    <r>
      <rPr>
        <sz val="9"/>
        <rFont val="Arial"/>
        <charset val="1"/>
      </rPr>
      <t>,</t>
    </r>
    <r>
      <rPr>
        <sz val="9"/>
        <rFont val="Noto Sans CJK SC"/>
        <charset val="134"/>
      </rPr>
      <t>内未见高密度灶。肝内外胆管无扩张。腹腔肠管未见扩张积气积液。腹腔及腹膜后未见明显异常肿块影。增强扫描，腹部大血管及肠系膜动静脉可见强化。肠系膜上静脉周围可见旋转的肠管及肠系膜环绕，局部肠系膜上静脉增粗。腹部实质器官及腹膜后亦未见异常强化肿块影。</t>
    </r>
  </si>
  <si>
    <t>上述异常征象多考虑为肠扭转所致，请结合临床。</t>
  </si>
  <si>
    <t>2017-09-30</t>
  </si>
  <si>
    <r>
      <rPr>
        <sz val="9"/>
        <rFont val="Noto Sans CJK SC"/>
        <charset val="134"/>
      </rPr>
      <t>消化道碘水造影：
食管：边缘光滑，对比剂通过顺利</t>
    </r>
    <r>
      <rPr>
        <sz val="9"/>
        <rFont val="Arial"/>
        <charset val="1"/>
      </rPr>
      <t>,</t>
    </r>
    <r>
      <rPr>
        <sz val="9"/>
        <rFont val="Noto Sans CJK SC"/>
        <charset val="134"/>
      </rPr>
      <t>可见胃食管反流</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小肠：十二指肠球部显示扩张，降段显示狭窄，对比剂通过显示不畅，上组空肠位于右侧腹。余各组小肠显示通畅，未见梗阻及扩张。
</t>
    </r>
    <r>
      <rPr>
        <sz val="9"/>
        <rFont val="Arial"/>
        <charset val="1"/>
      </rPr>
      <t>2</t>
    </r>
    <r>
      <rPr>
        <sz val="9"/>
        <rFont val="Noto Sans CJK SC"/>
        <charset val="134"/>
      </rPr>
      <t>小时后复查，对比剂已达直肠，未见正常结肠框形态，回盲部位置显示不清。</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</si>
  <si>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t>
    </r>
  </si>
  <si>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4.0cm×1.7cm</t>
    </r>
    <r>
      <rPr>
        <sz val="9"/>
        <rFont val="Noto Sans CJK SC"/>
        <charset val="134"/>
      </rPr>
      <t>，右肾：</t>
    </r>
    <r>
      <rPr>
        <sz val="9"/>
        <rFont val="Arial"/>
        <charset val="1"/>
      </rPr>
      <t>3.9cm×1.9cm</t>
    </r>
    <r>
      <rPr>
        <sz val="9"/>
        <rFont val="Noto Sans CJK SC"/>
        <charset val="134"/>
      </rPr>
      <t xml:space="preserve">，集合系统光点群未见明显分离，肾实质内未见明显异常回声。
胃腔内充满气体强回声及细小强光点，右侧腹被大片肠气强反射回声遮盖，余处肠管扩张、肠腔内积液，腹腔内未见明显游离液性暗区。
</t>
    </r>
    <r>
      <rPr>
        <sz val="9"/>
        <rFont val="Arial"/>
        <charset val="1"/>
      </rPr>
      <t>CDFI:</t>
    </r>
    <r>
      <rPr>
        <sz val="9"/>
        <rFont val="Noto Sans CJK SC"/>
        <charset val="134"/>
      </rPr>
      <t>上述部位未见异常血流信号。</t>
    </r>
  </si>
  <si>
    <t>肝脏未见明显异常。
脾脏未见明显异常。
双肾未见明显异常。
局限性肠管扩张。
胃潴留。</t>
  </si>
  <si>
    <t>2018-12-03</t>
  </si>
  <si>
    <t>肝脏形状体积正常，其内密度较均匀，未见明显肿块影；肝内胆管未见明显扩张征象。胆囊可见显示。脾脏及双肾位置、大小、形态及密度未见明显异常改变。胰腺未见明显异常。腹腔内肠管未见明显扩张积液积气，可见“双泡征”，中上腹部可见团片状软组织密度影，肠系膜间隙显示欠清晰，密度增高，其内似可见中心点征，腹腔内未见明显积液。腹膜后未见明显占位征象。</t>
  </si>
  <si>
    <r>
      <rPr>
        <sz val="9"/>
        <rFont val="Noto Sans CJK SC"/>
        <charset val="134"/>
      </rPr>
      <t>肠旋转不良可疑，建议进一步行</t>
    </r>
    <r>
      <rPr>
        <sz val="9"/>
        <rFont val="Arial"/>
        <charset val="1"/>
      </rPr>
      <t>CT</t>
    </r>
    <r>
      <rPr>
        <sz val="9"/>
        <rFont val="Noto Sans CJK SC"/>
        <charset val="134"/>
      </rPr>
      <t>增强扫描。</t>
    </r>
  </si>
  <si>
    <t>2016-02-23</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</si>
  <si>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胃：胃体扩张，蠕动亢进，幽门管处于开放状态</t>
    </r>
    <r>
      <rPr>
        <sz val="9"/>
        <rFont val="Arial"/>
        <charset val="1"/>
      </rPr>
      <t xml:space="preserve">;
</t>
    </r>
    <r>
      <rPr>
        <sz val="9"/>
        <rFont val="Noto Sans CJK SC"/>
        <charset val="134"/>
      </rPr>
      <t>小肠：十二指肠及空肠肠管扩张，对比剂通过受阻。约</t>
    </r>
    <r>
      <rPr>
        <sz val="9"/>
        <rFont val="Arial"/>
        <charset val="1"/>
      </rPr>
      <t>6</t>
    </r>
    <r>
      <rPr>
        <sz val="9"/>
        <rFont val="Noto Sans CJK SC"/>
        <charset val="134"/>
      </rPr>
      <t>小时后复查，胃及十二指肠、空肠仍显示扩张，未见对比剂进入回肠。余腹部肠管未见肠气影。</t>
    </r>
  </si>
  <si>
    <t>空肠梗阻（肠闭锁）首先考虑。</t>
  </si>
  <si>
    <t>2017-09-26</t>
  </si>
  <si>
    <t>肝脏形状体积正常，其内密度较均匀，未见明显肿块影；肝内胆管未见明显扩张征象。胆囊可见显示。脾脏及双肾位置、大小、形态及密度未见明显异常改变。腹腔内肠系膜根部似见漩涡征，腹腔内肠管部分扩张积气，肠间隙模糊，腹腔内未见明显积液。腹膜后未见明显占位征象。</t>
  </si>
  <si>
    <r>
      <rPr>
        <sz val="9"/>
        <rFont val="Noto Sans CJK SC"/>
        <charset val="134"/>
      </rPr>
      <t>肠旋转不良可能，建议必要时</t>
    </r>
    <r>
      <rPr>
        <sz val="9"/>
        <rFont val="Arial"/>
        <charset val="1"/>
      </rPr>
      <t>CT</t>
    </r>
    <r>
      <rPr>
        <sz val="9"/>
        <rFont val="Noto Sans CJK SC"/>
        <charset val="134"/>
      </rPr>
      <t>增强检查；
肠间隙模糊，请结合临床。</t>
    </r>
  </si>
  <si>
    <r>
      <rPr>
        <sz val="9"/>
        <rFont val="Noto Sans CJK SC"/>
        <charset val="134"/>
      </rPr>
      <t>双肾及肾血管彩超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</si>
  <si>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xml:space="preserve">。
双肾切面形态正常，集合系统光点群未见明显分离，肾实质内未见明显异常回声。
腹膜后大血管旁及其间隙内因气体干扰，部分切面探及不满意，所示切面未见明显局限性肿块图像。
</t>
    </r>
    <r>
      <rPr>
        <sz val="9"/>
        <rFont val="Arial"/>
        <charset val="1"/>
      </rPr>
      <t>CDFI:</t>
    </r>
    <r>
      <rPr>
        <sz val="9"/>
        <rFont val="Noto Sans CJK SC"/>
        <charset val="134"/>
      </rPr>
      <t>上述部位未见明显异常血流信号。</t>
    </r>
  </si>
  <si>
    <t>肝脏未见明显异常。
脾脏未见明显异常。
双肾未见明显异常。
腹膜后所示切面未见明显异常。</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</si>
  <si>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胃：明显扩张，幽门处于开放状态，可见胃食管返流</t>
    </r>
    <r>
      <rPr>
        <sz val="9"/>
        <rFont val="Arial"/>
        <charset val="1"/>
      </rPr>
      <t xml:space="preserve">;
</t>
    </r>
    <r>
      <rPr>
        <sz val="9"/>
        <rFont val="Noto Sans CJK SC"/>
        <charset val="134"/>
      </rPr>
      <t>小肠：十二指肠球部及降段显示扩张，对比剂通过水平段受阻，前组空肠显示欠佳。
      追踪复查，可见少量对比剂进入中下腹小肠。
约</t>
    </r>
    <r>
      <rPr>
        <sz val="9"/>
        <rFont val="Arial"/>
        <charset val="1"/>
      </rPr>
      <t>5</t>
    </r>
    <r>
      <rPr>
        <sz val="9"/>
        <rFont val="Noto Sans CJK SC"/>
        <charset val="134"/>
      </rPr>
      <t>小时后复查，中下腹小肠肠管内见少量对比剂，十二指肠仍见梗阻征象，胃显示扩张，内见大量对比剂潴留。膀胱内见对比剂影。回盲部显示欠佳。</t>
    </r>
  </si>
  <si>
    <r>
      <rPr>
        <sz val="9"/>
        <rFont val="Noto Sans CJK SC"/>
        <charset val="134"/>
      </rPr>
      <t>十二指肠不全性梗阻。建议参考</t>
    </r>
    <r>
      <rPr>
        <sz val="9"/>
        <rFont val="Arial"/>
        <charset val="1"/>
      </rPr>
      <t>CT</t>
    </r>
    <r>
      <rPr>
        <sz val="9"/>
        <rFont val="Noto Sans CJK SC"/>
        <charset val="134"/>
      </rPr>
      <t>检查结果综合考虑（中肠旋转不良？）。</t>
    </r>
  </si>
  <si>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1.6cm</t>
    </r>
    <r>
      <rPr>
        <sz val="9"/>
        <rFont val="Noto Sans CJK SC"/>
        <charset val="134"/>
      </rPr>
      <t xml:space="preserve">。
双肾切面形态大小正常，集合系统光点群未见明显分离，肾实质内未见明显异常回声。
上中腹肠管扩张，肠腔内积液、积气，充满肠内容物样光点群回声，肠内容物来回翻动，呈分子运动征，肠蠕动缓慢，下腹肠管较萎瘪，未探及明显积液征。
</t>
    </r>
    <r>
      <rPr>
        <sz val="9"/>
        <rFont val="Arial"/>
        <charset val="1"/>
      </rPr>
      <t>CDFI</t>
    </r>
    <r>
      <rPr>
        <sz val="9"/>
        <rFont val="Noto Sans CJK SC"/>
        <charset val="134"/>
      </rPr>
      <t>：患儿哭吵，上述部位血流信号较杂乱。</t>
    </r>
  </si>
  <si>
    <t>上中腹肠管扩张明显。
肝脏未见明显异常。
脾脏未见明显异常。
双肾未见明显异常。</t>
  </si>
  <si>
    <r>
      <rPr>
        <sz val="9"/>
        <rFont val="Noto Sans CJK SC"/>
        <charset val="134"/>
      </rPr>
      <t>左侧小脑半球见点状稍高密度影，</t>
    </r>
    <r>
      <rPr>
        <sz val="9"/>
        <rFont val="Arial"/>
        <charset val="1"/>
      </rPr>
      <t>CT</t>
    </r>
    <r>
      <rPr>
        <sz val="9"/>
        <rFont val="Noto Sans CJK SC"/>
        <charset val="134"/>
      </rPr>
      <t>值约</t>
    </r>
    <r>
      <rPr>
        <sz val="9"/>
        <rFont val="Arial"/>
        <charset val="1"/>
      </rPr>
      <t>50HU</t>
    </r>
    <r>
      <rPr>
        <sz val="9"/>
        <rFont val="Noto Sans CJK SC"/>
        <charset val="134"/>
      </rPr>
      <t>，双侧室管膜下、侧脑室后角见片状高密度影，顶部颅板下及天幕缘密度增高。中线结构未见移位。骨窗颅骨未见异常。
肝脏形状体积正常，其内密度较均匀，未见明显肿块影；肝内胆管未见明显扩张征象。胆囊可见显示。脾脏及双肾位置、大小、形态及密度未见明显异常改变。胰腺未见明显异常。胃泡、十二指肠及近端空肠扩张积气积液，远端大部分肠管未见明显充盈积气，下腹部可见点状钙化影，</t>
    </r>
    <r>
      <rPr>
        <sz val="9"/>
        <rFont val="Arial"/>
        <charset val="1"/>
      </rPr>
      <t>CT</t>
    </r>
    <r>
      <rPr>
        <sz val="9"/>
        <rFont val="Noto Sans CJK SC"/>
        <charset val="134"/>
      </rPr>
      <t>值约</t>
    </r>
    <r>
      <rPr>
        <sz val="9"/>
        <rFont val="Arial"/>
        <charset val="1"/>
      </rPr>
      <t>207HU</t>
    </r>
    <r>
      <rPr>
        <sz val="9"/>
        <rFont val="Noto Sans CJK SC"/>
        <charset val="134"/>
      </rPr>
      <t>。膜后未见明显占位征象。</t>
    </r>
  </si>
  <si>
    <t>左侧小脑灶性出血，双侧室管膜下出血，脑室内积血，顶部及天幕缘硬膜下出血。
空肠近端梗阻，肠狭窄或闭锁多考虑，请结合临床。</t>
  </si>
  <si>
    <t>2018-10-23</t>
  </si>
  <si>
    <t>腹腔内可见较多稍低密度液体及极低密度气体影，并可见气液平面；腹腔内肠管肠气肠液少。肝脏形状体积正常，其内密度较均匀，未见明显肿块影；肝内胆管未见明显扩张征象。胆囊可见显示。脾脏及双肾位置、大小、形态及密度未见明显异常改变。腹膜后未见明显占位征象。</t>
  </si>
  <si>
    <t>腹腔积液积气，消化道穿孔所致多考虑；
腹腔内肠管肠气肠液少，请结合临床。</t>
  </si>
  <si>
    <t>2015-12-20</t>
  </si>
  <si>
    <r>
      <rPr>
        <sz val="9"/>
        <rFont val="Noto Sans CJK SC"/>
        <charset val="134"/>
      </rPr>
      <t>肝脾胰及双肾实质未见异常密度灶，大小形态未见异常。胆囊可见显示</t>
    </r>
    <r>
      <rPr>
        <sz val="9"/>
        <rFont val="Arial"/>
        <charset val="1"/>
      </rPr>
      <t>,</t>
    </r>
    <r>
      <rPr>
        <sz val="9"/>
        <rFont val="Noto Sans CJK SC"/>
        <charset val="134"/>
      </rPr>
      <t>内未见高密度灶。胆肝内外胆管无扩张。中腹部可见软组织肿块，其内可见低密度脂肪影，呈“漩涡状”。腹腔内肠管未见明显扩张积气积液。结肠内见肠内容物充填。增强扫描，腹部大血管及肠系膜动静脉可见强化。肠系膜动静脉显示迂曲旋转呈“漩涡状”，其周围可见旋转的肠管及肠系膜环绕。腹部实质器官及腹膜后亦未见异常强化肿块影。</t>
    </r>
  </si>
  <si>
    <t>上述异常征象多考虑为肠旋转不良并中肠扭转；请结合临床。</t>
  </si>
  <si>
    <t>2018-09-29</t>
  </si>
  <si>
    <r>
      <rPr>
        <sz val="9"/>
        <rFont val="Noto Sans CJK SC"/>
        <charset val="134"/>
      </rPr>
      <t>腹部</t>
    </r>
    <r>
      <rPr>
        <sz val="9"/>
        <rFont val="Arial"/>
        <charset val="1"/>
      </rPr>
      <t>CT</t>
    </r>
    <r>
      <rPr>
        <sz val="9"/>
        <rFont val="Noto Sans CJK SC"/>
        <charset val="134"/>
      </rPr>
      <t>平扫</t>
    </r>
  </si>
  <si>
    <t>肝脏形状体积正常，其内密度较均匀，未见明显肿块影；肝内胆管未见明显扩张征象。胆囊可见显示。脾脏及双肾位置、大小、形态及密度未见明显异常改变。胰腺未见明显异常。部分肠管积气积液，并可见多个气液平面，肠间隙模糊，腹腔见低密度积液影。
双肺下叶见片状高密度影，其间可见支气管气相。</t>
  </si>
  <si>
    <t>不全性肠梗阻，腹腔积液，腹膜炎，请结合临床。
双肺下叶肺炎肺实变。</t>
  </si>
  <si>
    <t>2018-12-24</t>
  </si>
  <si>
    <r>
      <rPr>
        <sz val="9"/>
        <rFont val="Noto Sans CJK SC"/>
        <charset val="134"/>
      </rPr>
      <t>片</t>
    </r>
    <r>
      <rPr>
        <sz val="9"/>
        <rFont val="Arial"/>
        <charset val="1"/>
      </rPr>
      <t xml:space="preserve">1-6  </t>
    </r>
    <r>
      <rPr>
        <sz val="9"/>
        <rFont val="Noto Sans CJK SC"/>
        <charset val="134"/>
      </rPr>
      <t>消化道碘水造影：
食管：边缘光滑，对比剂通过顺利；
胃：形态位置正常，壁光整，幽门能开放；鼻饲管位于胃体外；
小肠：十二指肠扩张，对比剂位于腹腔。检查终止。</t>
    </r>
  </si>
  <si>
    <r>
      <rPr>
        <sz val="9"/>
        <rFont val="Arial"/>
        <charset val="1"/>
      </rPr>
      <t>1</t>
    </r>
    <r>
      <rPr>
        <sz val="9"/>
        <rFont val="Noto Sans CJK SC"/>
        <charset val="134"/>
      </rPr>
      <t xml:space="preserve">）十二指肠扩张，十二指肠不全性梗阻可能；
</t>
    </r>
    <r>
      <rPr>
        <sz val="9"/>
        <rFont val="Arial"/>
        <charset val="1"/>
      </rPr>
      <t>2</t>
    </r>
    <r>
      <rPr>
        <sz val="9"/>
        <rFont val="Noto Sans CJK SC"/>
        <charset val="134"/>
      </rPr>
      <t>）鼻饲管位于胃体外，对比剂进入腹腔，消化道穿孔（胃穿孔）可能性大。</t>
    </r>
  </si>
  <si>
    <r>
      <rPr>
        <sz val="9"/>
        <rFont val="Noto Sans CJK SC"/>
        <charset val="134"/>
      </rPr>
      <t>肝脾胰及双肾实质未见异常密度灶，大小形态未见异常。胆囊可见显示</t>
    </r>
    <r>
      <rPr>
        <sz val="9"/>
        <rFont val="Arial"/>
        <charset val="1"/>
      </rPr>
      <t>,</t>
    </r>
    <r>
      <rPr>
        <sz val="9"/>
        <rFont val="Noto Sans CJK SC"/>
        <charset val="134"/>
      </rPr>
      <t>内未见高密度灶。肝内外胆管无扩张。腹部正中肠管可见“漩涡征”，中线处肠管纠集，肠系膜密度增高，其下方肠管周围见较多低密度渗出影环绕，肠管形态显示欠清。腹腔及腹膜后未见明显异常肿块影。</t>
    </r>
  </si>
  <si>
    <t>上述中下腹部异常征象肠旋转不良伴中肠扭转可能性大，不除外肠套叠所致。请行增强进一步检查定性。</t>
  </si>
  <si>
    <t>2013-12-25</t>
  </si>
  <si>
    <t>肝脏形状体积正常，其内密度较均匀，未见明显肿块影；肝内胆管未见明显扩张征象。胆囊可见显示。脾脏及双肾位置、大小、形态及密度未见明显异常改变。胰腺未见明显异常。中腹部似见漩涡征，腹腔见明显积液，肠管漂浮肠壁及门脉未见明显积气征象。腹膜后未见明显占位征象。</t>
  </si>
  <si>
    <t>肠旋转不良多考虑，腹腔积液，建议进一步增强检查。</t>
  </si>
  <si>
    <r>
      <rPr>
        <sz val="9"/>
        <rFont val="Noto Sans CJK SC"/>
        <charset val="134"/>
      </rPr>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肝脏形状体积正常，其内密度较均匀，未见明显肿块影；肝内胆管未见明显扩张征象。胆囊可见显示。脾脏及双肾位置、大小、形态及密度未见明显异常改变。胰腺未见明显异常。腹壁可见缺损，横径约</t>
    </r>
    <r>
      <rPr>
        <sz val="9"/>
        <rFont val="Arial"/>
        <charset val="1"/>
      </rPr>
      <t>28mm</t>
    </r>
    <r>
      <rPr>
        <sz val="9"/>
        <rFont val="Noto Sans CJK SC"/>
        <charset val="134"/>
      </rPr>
      <t>，腹腔肠管经缺损突出腹腔外，腹腔内肠管间隙模糊，腹腔内未见明显积液。腹膜后未见明显占位征象。盆腔骶前未见明显肿块影，骨窗骶椎椎板后部未融合。</t>
    </r>
  </si>
  <si>
    <r>
      <rPr>
        <sz val="9"/>
        <rFont val="Noto Sans CJK SC"/>
        <charset val="134"/>
      </rPr>
      <t>颅脑</t>
    </r>
    <r>
      <rPr>
        <sz val="9"/>
        <rFont val="Arial"/>
        <charset val="1"/>
      </rPr>
      <t>CT</t>
    </r>
    <r>
      <rPr>
        <sz val="9"/>
        <rFont val="Noto Sans CJK SC"/>
        <charset val="134"/>
      </rPr>
      <t>平扫未见明显异常； 
腹裂多考虑（内容物为肠管）；
请结合临床。</t>
    </r>
  </si>
  <si>
    <t>2013-10-03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</si>
  <si>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腹部正中可见漩涡征。</t>
  </si>
  <si>
    <r>
      <rPr>
        <sz val="9"/>
        <rFont val="Noto Sans CJK SC"/>
        <charset val="134"/>
      </rPr>
      <t>颅脑</t>
    </r>
    <r>
      <rPr>
        <sz val="9"/>
        <rFont val="Arial"/>
        <charset val="1"/>
      </rPr>
      <t>CT</t>
    </r>
    <r>
      <rPr>
        <sz val="9"/>
        <rFont val="Noto Sans CJK SC"/>
        <charset val="134"/>
      </rPr>
      <t>平扫未见明显异常。
肠旋转不良多考虑，建议进一步增强检查。</t>
    </r>
  </si>
  <si>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5</t>
    </r>
    <r>
      <rPr>
        <sz val="9"/>
        <rFont val="Noto Sans CJK SC"/>
        <charset val="134"/>
      </rPr>
      <t>小时后复查，对比剂已达直肠，似见回盲部位于中上腹。</t>
    </r>
  </si>
  <si>
    <t>2014-10-02</t>
  </si>
  <si>
    <r>
      <rPr>
        <sz val="9"/>
        <rFont val="Noto Sans CJK SC"/>
        <charset val="134"/>
      </rPr>
      <t>双侧大脑半球未见明显异常密度影，脑室系统未见扩大，脑沟裂未见明显增宽，天幕缘见稍高密度影。双侧基底节、丘脑及小脑未见异常。中线结构未见移位。骨窗颅骨未见异常。
肝脏、脾脏、胰腺及双肾未见明显异常，胆囊可见显示，胆管未见扩张，胃腔扩张，腹腔内肠管积液</t>
    </r>
    <r>
      <rPr>
        <sz val="9"/>
        <rFont val="Arial"/>
        <charset val="1"/>
      </rPr>
      <t>,</t>
    </r>
    <r>
      <rPr>
        <sz val="9"/>
        <rFont val="Noto Sans CJK SC"/>
        <charset val="134"/>
      </rPr>
      <t>肠管间隙模糊，盆腔少许积液。腹膜后未见明显占位征象。增强扫描扫描肠系膜血管呈旋涡状，肠间隙不清。实质脏器未见明显异常强化。</t>
    </r>
  </si>
  <si>
    <t>天幕缘少许出血多考虑；
肠旋转不良，肠间隙不清，盆腔少许积液。
请结合临床。</t>
  </si>
  <si>
    <r>
      <rPr>
        <sz val="9"/>
        <rFont val="Noto Sans CJK SC"/>
        <charset val="134"/>
      </rPr>
      <t>双侧大脑半球脑实质未见异常密度灶，脑室系统未见扩大，脑沟裂未见明显增宽。双侧基底节、丘脑及小脑未见异常。中线结构未见移位。骨窗颅骨未见异常。
膈下肝周及肠周见弧形、散在点条片状极低密度游离积气影及片状低密度积液影。中腹部可见小肠及肠系膜旋转呈“漩涡征”，其下方局部肠管内见点状高密度钙化影。肝脾胰及双肾实质未见异常密度灶，大小形态未见异常。胆囊可见显示</t>
    </r>
    <r>
      <rPr>
        <sz val="9"/>
        <rFont val="Arial"/>
        <charset val="1"/>
      </rPr>
      <t>,</t>
    </r>
    <r>
      <rPr>
        <sz val="9"/>
        <rFont val="Noto Sans CJK SC"/>
        <charset val="134"/>
      </rPr>
      <t>内未见高密度灶。肝内外胆管无扩张。腹腔肠管未见明显梗阻征象。右肺中下叶见斑片状模糊影。</t>
    </r>
  </si>
  <si>
    <r>
      <rPr>
        <sz val="9"/>
        <rFont val="Noto Sans CJK SC"/>
        <charset val="134"/>
      </rPr>
      <t>腹腔游离气体（空腔脏器穿孔）；
肠旋转不良伴中肠扭转多考虑；
腹腔积液；
颅脑</t>
    </r>
    <r>
      <rPr>
        <sz val="9"/>
        <rFont val="Arial"/>
        <charset val="1"/>
      </rPr>
      <t>CT</t>
    </r>
    <r>
      <rPr>
        <sz val="9"/>
        <rFont val="Noto Sans CJK SC"/>
        <charset val="134"/>
      </rPr>
      <t>平扫未见明显异常；
右肺中下叶肺炎。</t>
    </r>
  </si>
  <si>
    <t>2013-01-15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</si>
  <si>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小肠：十二指肠稍显扩张，对比剂通过显示不畅，空回肠位置异常。余各组小肠显示通畅，未见梗阻及扩张。
</t>
    </r>
    <r>
      <rPr>
        <sz val="9"/>
        <rFont val="Arial"/>
        <charset val="1"/>
      </rPr>
      <t>80</t>
    </r>
    <r>
      <rPr>
        <sz val="9"/>
        <rFont val="Noto Sans CJK SC"/>
        <charset val="134"/>
      </rPr>
      <t>分钟、</t>
    </r>
    <r>
      <rPr>
        <sz val="9"/>
        <rFont val="Arial"/>
        <charset val="1"/>
      </rPr>
      <t>4.5</t>
    </r>
    <r>
      <rPr>
        <sz val="9"/>
        <rFont val="Noto Sans CJK SC"/>
        <charset val="134"/>
      </rPr>
      <t>小时后复查，对比剂已达直肠，结肠圈形态异常，回盲部似位于中腹部。</t>
    </r>
  </si>
  <si>
    <t>中肠旋转不良首先考虑。建议钡剂灌肠观察回盲部。</t>
  </si>
  <si>
    <t>2015-02-06</t>
  </si>
  <si>
    <r>
      <rPr>
        <sz val="9"/>
        <rFont val="Noto Sans CJK SC"/>
        <charset val="134"/>
      </rPr>
      <t>天幕缘见条状高密度影，</t>
    </r>
    <r>
      <rPr>
        <sz val="9"/>
        <rFont val="Arial"/>
        <charset val="1"/>
      </rPr>
      <t>CT</t>
    </r>
    <r>
      <rPr>
        <sz val="9"/>
        <rFont val="Noto Sans CJK SC"/>
        <charset val="134"/>
      </rPr>
      <t>值约为</t>
    </r>
    <r>
      <rPr>
        <sz val="9"/>
        <rFont val="Arial"/>
        <charset val="1"/>
      </rPr>
      <t>42HU</t>
    </r>
    <r>
      <rPr>
        <sz val="9"/>
        <rFont val="Noto Sans CJK SC"/>
        <charset val="134"/>
      </rPr>
      <t>。大脑实质内未见明显高密度灶。双侧外侧裂稍宽；双侧基底节及小脑未见明显异常密度灶。中线结构未见移位。骨窗颅骨未见骨折征象。
肝脏形状体积正常，其内密度较均匀，未见明显肿块影；肝内胆管未见明显扩张征象。胆囊可见显示。脾脏及双肾位置、大小、形态及密度未见明显异常改变。胰腺显示不清。腹腔内肠管稍扩张积液，腹腔内肝脾周围积液，肠间隙积液，腹腔中部见团状低密度影，</t>
    </r>
    <r>
      <rPr>
        <sz val="9"/>
        <rFont val="Arial"/>
        <charset val="1"/>
      </rPr>
      <t>CT</t>
    </r>
    <r>
      <rPr>
        <sz val="9"/>
        <rFont val="Noto Sans CJK SC"/>
        <charset val="134"/>
      </rPr>
      <t>值约</t>
    </r>
    <r>
      <rPr>
        <sz val="9"/>
        <rFont val="Arial"/>
        <charset val="1"/>
      </rPr>
      <t>21hu,</t>
    </r>
    <r>
      <rPr>
        <sz val="9"/>
        <rFont val="Noto Sans CJK SC"/>
        <charset val="134"/>
      </rPr>
      <t>截面约</t>
    </r>
    <r>
      <rPr>
        <sz val="9"/>
        <rFont val="Arial"/>
        <charset val="1"/>
      </rPr>
      <t>35mmx40mm,</t>
    </r>
    <r>
      <rPr>
        <sz val="9"/>
        <rFont val="Noto Sans CJK SC"/>
        <charset val="134"/>
      </rPr>
      <t>局部包绕肠管，左侧腹腔及直肠内见高密度影。胃扩张积气积液。</t>
    </r>
  </si>
  <si>
    <t>天幕缘少许积血，顶部颅外软组织肿胀。请追踪观察。                                                      
胎粪性腹膜炎可能性大。腹腔内肝脾周围积液、肠间隙积液（局部包裹？）。腹腔内肠管稍扩张普遍积液，不全肠梗阻。</t>
  </si>
  <si>
    <t>2015-03-06</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</si>
  <si>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胃：呈</t>
    </r>
    <r>
      <rPr>
        <sz val="9"/>
        <rFont val="Arial"/>
        <charset val="1"/>
      </rPr>
      <t>"</t>
    </r>
    <r>
      <rPr>
        <sz val="9"/>
        <rFont val="Noto Sans CJK SC"/>
        <charset val="134"/>
      </rPr>
      <t>弓虾</t>
    </r>
    <r>
      <rPr>
        <sz val="9"/>
        <rFont val="Arial"/>
        <charset val="1"/>
      </rPr>
      <t>"</t>
    </r>
    <r>
      <rPr>
        <sz val="9"/>
        <rFont val="Noto Sans CJK SC"/>
        <charset val="134"/>
      </rPr>
      <t>状，胃大弯向前上方翻转，幽门管斜向右下方，其通过正常</t>
    </r>
    <r>
      <rPr>
        <sz val="9"/>
        <rFont val="Arial"/>
        <charset val="1"/>
      </rPr>
      <t>;</t>
    </r>
    <r>
      <rPr>
        <sz val="9"/>
        <rFont val="Noto Sans CJK SC"/>
        <charset val="134"/>
      </rPr>
      <t>可见胃食管反流。
小肠：十二指肠球后段显示，对比剂下行受限。约</t>
    </r>
    <r>
      <rPr>
        <sz val="9"/>
        <rFont val="Arial"/>
        <charset val="1"/>
      </rPr>
      <t>50mins</t>
    </r>
    <r>
      <rPr>
        <sz val="9"/>
        <rFont val="Noto Sans CJK SC"/>
        <charset val="134"/>
      </rPr>
      <t>后复查，对比剂分布同前，空回肠未见对比剂影。中下腹致密，未见肠气影。</t>
    </r>
  </si>
  <si>
    <r>
      <rPr>
        <sz val="9"/>
        <rFont val="Arial"/>
        <charset val="1"/>
      </rPr>
      <t>1.</t>
    </r>
    <r>
      <rPr>
        <sz val="9"/>
        <rFont val="Noto Sans CJK SC"/>
        <charset val="134"/>
      </rPr>
      <t xml:space="preserve">十二指肠梗阻。  </t>
    </r>
    <r>
      <rPr>
        <sz val="9"/>
        <rFont val="Arial"/>
        <charset val="1"/>
      </rPr>
      <t>2.</t>
    </r>
    <r>
      <rPr>
        <sz val="9"/>
        <rFont val="Noto Sans CJK SC"/>
        <charset val="134"/>
      </rPr>
      <t>胃翻转并胃食管反流。</t>
    </r>
  </si>
  <si>
    <t>2015-06-10</t>
  </si>
  <si>
    <r>
      <rPr>
        <sz val="9"/>
        <rFont val="Noto Sans CJK SC"/>
        <charset val="134"/>
      </rPr>
      <t>天幕缘见小片状高密度影，</t>
    </r>
    <r>
      <rPr>
        <sz val="9"/>
        <rFont val="Arial"/>
        <charset val="1"/>
      </rPr>
      <t>CT</t>
    </r>
    <r>
      <rPr>
        <sz val="9"/>
        <rFont val="Noto Sans CJK SC"/>
        <charset val="134"/>
      </rPr>
      <t>值约为</t>
    </r>
    <r>
      <rPr>
        <sz val="9"/>
        <rFont val="Arial"/>
        <charset val="1"/>
      </rPr>
      <t>43HU</t>
    </r>
    <r>
      <rPr>
        <sz val="9"/>
        <rFont val="Noto Sans CJK SC"/>
        <charset val="134"/>
      </rPr>
      <t>。脑实质未见明显异常灶。脑沟裂未见异常增宽；双侧基底节、丘脑及小脑未见明显异常密度灶。中线结构未见移位。颅骨未见明显异常。
    肝脏形状体积正常，其内密度较均匀，未见明显肿块影；肝内胆管未见明显扩张征象。胆囊可见显示。脾脏及双肾位置、大小、形态及密度未见明显异常改变。腹腔内部分肠管积液积气，肠间隙不清，中腹部似见环形影，中央见稍高密度点状影。腹膜腔内未见明显积液。腹膜后未见明显占位征象。</t>
    </r>
  </si>
  <si>
    <r>
      <rPr>
        <sz val="9"/>
        <rFont val="Noto Sans CJK SC"/>
        <charset val="134"/>
      </rPr>
      <t>天幕缘高密度影，出血多考虑；  
腹腔内部分肠管积液积气，肠间隙不清，中腹部似见环形影，中央见稍高密度点状影，考虑肠旋转不良可能，请结合临床及其他检查综合定性，必要时</t>
    </r>
    <r>
      <rPr>
        <sz val="9"/>
        <rFont val="Arial"/>
        <charset val="1"/>
      </rPr>
      <t>CT</t>
    </r>
    <r>
      <rPr>
        <sz val="9"/>
        <rFont val="Noto Sans CJK SC"/>
        <charset val="134"/>
      </rPr>
      <t>增强检查。</t>
    </r>
  </si>
  <si>
    <t>2016-06-23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</si>
  <si>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胃稍扩张，十二指肠以下肠管未见明显肠气充填，肠间隙稍模糊。腹腔内未见明显积液。腹膜后未见明显占位征象。</t>
  </si>
  <si>
    <r>
      <rPr>
        <sz val="9"/>
        <rFont val="Noto Sans CJK SC"/>
        <charset val="134"/>
      </rPr>
      <t>颅脑</t>
    </r>
    <r>
      <rPr>
        <sz val="9"/>
        <rFont val="Arial"/>
        <charset val="1"/>
      </rPr>
      <t>CT</t>
    </r>
    <r>
      <rPr>
        <sz val="9"/>
        <rFont val="Noto Sans CJK SC"/>
        <charset val="134"/>
      </rPr>
      <t>平扫未见明显异常；
十二指肠以下肠管未见明显肠气充填，建议临床进一步检查。</t>
    </r>
  </si>
  <si>
    <t>2016-10-13</t>
  </si>
  <si>
    <r>
      <rPr>
        <sz val="9"/>
        <rFont val="Arial"/>
        <charset val="1"/>
      </rPr>
      <t>t</t>
    </r>
    <r>
      <rPr>
        <sz val="9"/>
        <rFont val="Noto Sans CJK SC"/>
        <charset val="134"/>
      </rPr>
      <t>上消化道碘水造影</t>
    </r>
  </si>
  <si>
    <r>
      <rPr>
        <sz val="9"/>
        <rFont val="Noto Sans CJK SC"/>
        <charset val="134"/>
      </rPr>
      <t>食管：边缘光滑，对比剂通过顺利</t>
    </r>
    <r>
      <rPr>
        <sz val="9"/>
        <rFont val="Arial"/>
        <charset val="1"/>
      </rPr>
      <t xml:space="preserve">;
    </t>
    </r>
    <r>
      <rPr>
        <sz val="9"/>
        <rFont val="Noto Sans CJK SC"/>
        <charset val="134"/>
      </rPr>
      <t>胃：胃体扩张，蠕动亢进，幽门管处于开放状态</t>
    </r>
    <r>
      <rPr>
        <sz val="9"/>
        <rFont val="Arial"/>
        <charset val="1"/>
      </rPr>
      <t xml:space="preserve">;
</t>
    </r>
    <r>
      <rPr>
        <sz val="9"/>
        <rFont val="Noto Sans CJK SC"/>
        <charset val="134"/>
      </rPr>
      <t xml:space="preserve">十二指肠：十二指肠球部及降段肠管扩张明显，对比剂通过受阻；
    </t>
    </r>
    <r>
      <rPr>
        <sz val="9"/>
        <rFont val="Arial"/>
        <charset val="1"/>
      </rPr>
      <t>2</t>
    </r>
    <r>
      <rPr>
        <sz val="9"/>
        <rFont val="Noto Sans CJK SC"/>
        <charset val="134"/>
      </rPr>
      <t>小时后复查，少量对比剂进入空肠及回肠。</t>
    </r>
  </si>
  <si>
    <t>十二指肠梗阻，中肠旋转不良可能，建议进一步检查。</t>
  </si>
  <si>
    <t>2016-10-31</t>
  </si>
  <si>
    <r>
      <rPr>
        <sz val="9"/>
        <rFont val="Noto Sans CJK SC"/>
        <charset val="134"/>
      </rPr>
      <t>片</t>
    </r>
    <r>
      <rPr>
        <sz val="9"/>
        <rFont val="Arial"/>
        <charset val="1"/>
      </rPr>
      <t xml:space="preserve">1-6  </t>
    </r>
    <r>
      <rPr>
        <sz val="9"/>
        <rFont val="Noto Sans CJK SC"/>
        <charset val="134"/>
      </rPr>
      <t>全消化道碘水造影：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小肠：十二指肠圈形态尚正常，空肠位于右中腹，小肠显示通畅，未见梗阻及扩张。
</t>
    </r>
    <r>
      <rPr>
        <sz val="9"/>
        <rFont val="Arial"/>
        <charset val="1"/>
      </rPr>
      <t>4</t>
    </r>
    <r>
      <rPr>
        <sz val="9"/>
        <rFont val="Noto Sans CJK SC"/>
        <charset val="134"/>
      </rPr>
      <t>小时后复查，对比剂已达直肠，回盲部位置似位于右下腹。</t>
    </r>
  </si>
  <si>
    <t>空肠位于右中腹，回盲部位置显示不清，未见明显梗阻征象；
请结合临床，建议必要时追踪复查。</t>
  </si>
  <si>
    <t>2016-12-08</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</si>
  <si>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胃：胃体显示扩张，位置正常，壁光整，幽门开放正常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改变，对比剂通过显示不畅，上组空肠位于中下腹。
</t>
    </r>
    <r>
      <rPr>
        <sz val="9"/>
        <rFont val="Arial"/>
        <charset val="1"/>
      </rPr>
      <t>1</t>
    </r>
    <r>
      <rPr>
        <sz val="9"/>
        <rFont val="Noto Sans CJK SC"/>
        <charset val="134"/>
      </rPr>
      <t>小时后复查，胃及十二指肠仍扩张，回肠内见少许对比剂；</t>
    </r>
    <r>
      <rPr>
        <sz val="9"/>
        <rFont val="Arial"/>
        <charset val="1"/>
      </rPr>
      <t>4</t>
    </r>
    <r>
      <rPr>
        <sz val="9"/>
        <rFont val="Noto Sans CJK SC"/>
        <charset val="134"/>
      </rPr>
      <t>小时后复查，结肠内未见对比剂，膀胱内可见对比剂。</t>
    </r>
  </si>
  <si>
    <t>十二指肠不全性梗阻（中肠旋转不良首先考虑）。</t>
  </si>
  <si>
    <t>2019-06-04</t>
  </si>
  <si>
    <t>肝、脾及双肾实质未见异常密度灶，大小形态未见异常。肝内外胆管未见明显扩张。胆囊显影，内部未见明显异常占位。中腹部肠管呈旋涡状旋转，未见明显扩张积气积液。盆腔少许积液。腹膜后未见明显异常肿块及积液影。</t>
  </si>
  <si>
    <t>肠旋转不良伴中肠扭转多考虑，建议增强检查。</t>
  </si>
  <si>
    <t>2013-02-08</t>
  </si>
  <si>
    <r>
      <rPr>
        <sz val="9"/>
        <rFont val="Noto Sans CJK SC"/>
        <charset val="134"/>
      </rPr>
      <t>片</t>
    </r>
    <r>
      <rPr>
        <sz val="9"/>
        <rFont val="Arial"/>
        <charset val="1"/>
      </rPr>
      <t xml:space="preserve">1-4  </t>
    </r>
    <r>
      <rPr>
        <sz val="9"/>
        <rFont val="Noto Sans CJK SC"/>
        <charset val="134"/>
      </rPr>
      <t>钡剂灌肠造影：
经肛门插管，注入足量钡剂：
    结肠圈变形，回盲部位置偏高，位于右中腹部，升结肠显示迂曲。全段结肠壁光整，结肠袋规则，全程未见明显狭窄及扩张。</t>
    </r>
  </si>
  <si>
    <t>结肠圈变形，回盲部位置偏高。中肠旋转不良可考虑。</t>
  </si>
  <si>
    <t>2017-01-02</t>
  </si>
  <si>
    <r>
      <rPr>
        <sz val="9"/>
        <rFont val="Noto Sans CJK SC"/>
        <charset val="134"/>
      </rPr>
      <t>前上纵隔见软组织密度胸腺影，内部密度较均匀，未见钙化及囊变，未见明显向两侧胸腔凸出。中后纵隔未见明显肿块影。纵隔未见移位，气管及主支气管通畅。双肺纹理增强，见斑片状模糊影。双侧胸膜腔内未见积液影。
    脐部可见直径约</t>
    </r>
    <r>
      <rPr>
        <sz val="9"/>
        <rFont val="Arial"/>
        <charset val="1"/>
      </rPr>
      <t>4.5cm</t>
    </r>
    <r>
      <rPr>
        <sz val="9"/>
        <rFont val="Noto Sans CJK SC"/>
        <charset val="134"/>
      </rPr>
      <t>的缺损，腹腔内肝脏、胆囊、脾脏、胃及部分肠管经缺损处突出于腹腔外形成混杂密度包块影，内可见含气肠管影及液体影，大小约</t>
    </r>
    <r>
      <rPr>
        <sz val="9"/>
        <rFont val="Arial"/>
        <charset val="1"/>
      </rPr>
      <t>5.7cmX8.2cmX8.1cm</t>
    </r>
    <r>
      <rPr>
        <sz val="9"/>
        <rFont val="Noto Sans CJK SC"/>
        <charset val="134"/>
      </rPr>
      <t>。双肾未见明显异常。腹腔内未见明显积液。腹膜后未见明显占位征象。</t>
    </r>
  </si>
  <si>
    <t>双肺肺炎；脐膨出；请结合临床。</t>
  </si>
  <si>
    <t>2017-01-17</t>
  </si>
  <si>
    <r>
      <rPr>
        <sz val="9"/>
        <rFont val="Noto Sans CJK SC"/>
        <charset val="134"/>
      </rPr>
      <t>片</t>
    </r>
    <r>
      <rPr>
        <sz val="9"/>
        <rFont val="Arial"/>
        <charset val="1"/>
      </rPr>
      <t xml:space="preserve">1-6  </t>
    </r>
    <r>
      <rPr>
        <sz val="9"/>
        <rFont val="Noto Sans CJK SC"/>
        <charset val="134"/>
      </rPr>
      <t>上消化道碘水造影：
食管：边缘光滑，对比剂通过顺利</t>
    </r>
    <r>
      <rPr>
        <sz val="9"/>
        <rFont val="Arial"/>
        <charset val="1"/>
      </rPr>
      <t xml:space="preserve">;
</t>
    </r>
    <r>
      <rPr>
        <sz val="9"/>
        <rFont val="Noto Sans CJK SC"/>
        <charset val="134"/>
      </rPr>
      <t>胃：胃体扩张，蠕动亢进，幽门管处于开放状态，可见胃食管返流征象</t>
    </r>
    <r>
      <rPr>
        <sz val="9"/>
        <rFont val="Arial"/>
        <charset val="1"/>
      </rPr>
      <t xml:space="preserve">;
</t>
    </r>
    <r>
      <rPr>
        <sz val="9"/>
        <rFont val="Noto Sans CJK SC"/>
        <charset val="134"/>
      </rPr>
      <t>十二指肠：近段肠管扩张，水平段有对比剂受阻征象，第一组小肠位置偏低。约</t>
    </r>
    <r>
      <rPr>
        <sz val="9"/>
        <rFont val="Arial"/>
        <charset val="1"/>
      </rPr>
      <t>1.5</t>
    </r>
    <r>
      <rPr>
        <sz val="9"/>
        <rFont val="Noto Sans CJK SC"/>
        <charset val="134"/>
      </rPr>
      <t xml:space="preserve">小时后复查，胃排空延迟，可见对比剂进入空肠。
</t>
    </r>
    <r>
      <rPr>
        <sz val="9"/>
        <rFont val="Arial"/>
        <charset val="1"/>
      </rPr>
      <t>5</t>
    </r>
    <r>
      <rPr>
        <sz val="9"/>
        <rFont val="Noto Sans CJK SC"/>
        <charset val="134"/>
      </rPr>
      <t>小时后复查，对比剂已达结肠，回盲部位置偏高。胃内可见对比剂。</t>
    </r>
  </si>
  <si>
    <r>
      <rPr>
        <sz val="9"/>
        <rFont val="Arial"/>
        <charset val="1"/>
      </rPr>
      <t>1</t>
    </r>
    <r>
      <rPr>
        <sz val="9"/>
        <rFont val="Noto Sans CJK SC"/>
        <charset val="134"/>
      </rPr>
      <t xml:space="preserve">）十二指肠不全性梗阻；
</t>
    </r>
    <r>
      <rPr>
        <sz val="9"/>
        <rFont val="Arial"/>
        <charset val="1"/>
      </rPr>
      <t>2</t>
    </r>
    <r>
      <rPr>
        <sz val="9"/>
        <rFont val="Noto Sans CJK SC"/>
        <charset val="134"/>
      </rPr>
      <t>）结合第一组小肠位置及回盲部位置异常，中肠旋转不良可考虑，建议结合临床。</t>
    </r>
  </si>
  <si>
    <t>2017-01-08</t>
  </si>
  <si>
    <t>肝脏形状体积正常，其内密度较均匀，未见明显肿块影；肝内胆管未见明显扩张征象。胆囊可见显示。脾脏及双肾位置、大小、形态及密度未见明显异常改变。胰腺未见明显异常。腹腔内大部分肠管扩张积液，部分肠壁水肿增厚，增强后强化不好，肠系膜上动脉及其主要分支密度增高。增强后肠系膜上动脉约中份未显影，部分系膜血管走行紊乱，肠系膜肿胀增厚，包绕系膜血管，腹膜腔见较多积液影。肠壁高密度影现不明显。
右侧胸腔见弧形液体密度影。</t>
  </si>
  <si>
    <r>
      <rPr>
        <sz val="9"/>
        <rFont val="Noto Sans CJK SC"/>
        <charset val="134"/>
      </rPr>
      <t>肠梗阻，肠管积液，腹腔积液，部分肠壁水肿增厚；肠系膜上动脉约中份未显影，部分系膜血管走行紊乱，肠系膜肿胀增厚，包绕系膜血管。仍考虑坏死性肠炎，与前（</t>
    </r>
    <r>
      <rPr>
        <sz val="9"/>
        <rFont val="Arial"/>
        <charset val="1"/>
      </rPr>
      <t>2016.1.7</t>
    </r>
    <r>
      <rPr>
        <sz val="9"/>
        <rFont val="Noto Sans CJK SC"/>
        <charset val="134"/>
      </rPr>
      <t>）相仿。右侧胸腔积液。请结合临床。</t>
    </r>
  </si>
  <si>
    <t>2017-08-22</t>
  </si>
  <si>
    <r>
      <rPr>
        <sz val="9"/>
        <rFont val="Noto Sans CJK SC"/>
        <charset val="134"/>
      </rPr>
      <t>术后：
腹腔内可见多个片状无回声区，肠管漂浮其中，右下腹较大一前后径为</t>
    </r>
    <r>
      <rPr>
        <sz val="9"/>
        <rFont val="Arial"/>
        <charset val="1"/>
      </rPr>
      <t>4.2cm</t>
    </r>
    <r>
      <rPr>
        <sz val="9"/>
        <rFont val="Noto Sans CJK SC"/>
        <charset val="134"/>
      </rPr>
      <t>，左侧腹较大一前后径为</t>
    </r>
    <r>
      <rPr>
        <sz val="9"/>
        <rFont val="Arial"/>
        <charset val="1"/>
      </rPr>
      <t>2.9cm</t>
    </r>
    <r>
      <rPr>
        <sz val="9"/>
        <rFont val="Noto Sans CJK SC"/>
        <charset val="134"/>
      </rPr>
      <t>，肝肾间隙前后径约为</t>
    </r>
    <r>
      <rPr>
        <sz val="9"/>
        <rFont val="Arial"/>
        <charset val="1"/>
      </rPr>
      <t>2.3cm</t>
    </r>
    <r>
      <rPr>
        <sz val="9"/>
        <rFont val="Noto Sans CJK SC"/>
        <charset val="134"/>
      </rPr>
      <t xml:space="preserve">，未见明显局限性肿块图像。
</t>
    </r>
    <r>
      <rPr>
        <sz val="9"/>
        <rFont val="Arial"/>
        <charset val="1"/>
      </rPr>
      <t>CDFI:</t>
    </r>
    <r>
      <rPr>
        <sz val="9"/>
        <rFont val="Noto Sans CJK SC"/>
        <charset val="134"/>
      </rPr>
      <t>上述无回声区内未见血流信号。</t>
    </r>
  </si>
  <si>
    <t>腹腔多发性积液。</t>
  </si>
  <si>
    <t>2018-12-15</t>
  </si>
  <si>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0.9cm</t>
    </r>
    <r>
      <rPr>
        <sz val="9"/>
        <rFont val="Noto Sans CJK SC"/>
        <charset val="134"/>
      </rPr>
      <t>。
双肾切面形态正常，左肾：</t>
    </r>
    <r>
      <rPr>
        <sz val="9"/>
        <rFont val="Arial"/>
        <charset val="1"/>
      </rPr>
      <t>3.3cm×1.8cm</t>
    </r>
    <r>
      <rPr>
        <sz val="9"/>
        <rFont val="Noto Sans CJK SC"/>
        <charset val="134"/>
      </rPr>
      <t>，右肾：</t>
    </r>
    <r>
      <rPr>
        <sz val="9"/>
        <rFont val="Arial"/>
        <charset val="1"/>
      </rPr>
      <t>3.2cm×1.9cm</t>
    </r>
    <r>
      <rPr>
        <sz val="9"/>
        <rFont val="Noto Sans CJK SC"/>
        <charset val="134"/>
      </rPr>
      <t xml:space="preserve">，集合系统光点群未见明显分离，肾实质内未见明显异常回声。
上腹被大片肠气强反射回声遮盖，后方结构显示不清。余腹未见明显局限性肿块图像及积液征。
</t>
    </r>
    <r>
      <rPr>
        <sz val="9"/>
        <rFont val="Arial"/>
        <charset val="1"/>
      </rPr>
      <t>CDFI</t>
    </r>
    <r>
      <rPr>
        <sz val="9"/>
        <rFont val="Noto Sans CJK SC"/>
        <charset val="134"/>
      </rPr>
      <t>：患儿哭闹，上述部位血流信号杂乱不清。</t>
    </r>
  </si>
  <si>
    <t>肝脏未见明显异常。
脾脏未见明显异常。
双肾未见明显异常。
肠积气。</t>
  </si>
  <si>
    <t>2016-12-28</t>
  </si>
  <si>
    <t>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食管下段、胃及十二指肠扩张积液。中腹部肠管呈旋涡状，部分肠管充盈欠佳。腹腔及腹膜后未见明显异常肿块及积液影。</t>
  </si>
  <si>
    <r>
      <rPr>
        <sz val="9"/>
        <rFont val="Noto Sans CJK SC"/>
        <charset val="134"/>
      </rPr>
      <t>颅脑</t>
    </r>
    <r>
      <rPr>
        <sz val="9"/>
        <rFont val="Arial"/>
        <charset val="1"/>
      </rPr>
      <t>CT</t>
    </r>
    <r>
      <rPr>
        <sz val="9"/>
        <rFont val="Noto Sans CJK SC"/>
        <charset val="134"/>
      </rPr>
      <t>平扫未见明显异常； 
肠旋转不良、肠梗阻多考虑；
肠闭锁不除外；
请结合临床，建议增强检查。</t>
    </r>
  </si>
  <si>
    <t>2017-03-27</t>
  </si>
  <si>
    <r>
      <rPr>
        <sz val="9"/>
        <rFont val="Noto Sans CJK SC"/>
        <charset val="134"/>
      </rPr>
      <t>肝脏切面形态正常，肝内光点分布均匀，血管走向清晰，肝右肋下</t>
    </r>
    <r>
      <rPr>
        <sz val="9"/>
        <rFont val="Arial"/>
        <charset val="1"/>
      </rPr>
      <t>1.4cm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下腹肠间可见前后径约</t>
    </r>
    <r>
      <rPr>
        <sz val="9"/>
        <rFont val="Arial"/>
        <charset val="1"/>
      </rPr>
      <t>0.8cm</t>
    </r>
    <r>
      <rPr>
        <sz val="9"/>
        <rFont val="Noto Sans CJK SC"/>
        <charset val="134"/>
      </rPr>
      <t xml:space="preserve">的无回声区，余腹未见明显异常回声。
</t>
    </r>
    <r>
      <rPr>
        <sz val="9"/>
        <rFont val="Arial"/>
        <charset val="1"/>
      </rPr>
      <t>CDFI:</t>
    </r>
    <r>
      <rPr>
        <sz val="9"/>
        <rFont val="Noto Sans CJK SC"/>
        <charset val="134"/>
      </rPr>
      <t>上述无回声区内未见血流信号。
双肾切面形态正常，左肾：</t>
    </r>
    <r>
      <rPr>
        <sz val="9"/>
        <rFont val="Arial"/>
        <charset val="1"/>
      </rPr>
      <t>4.2cm×2.3cm</t>
    </r>
    <r>
      <rPr>
        <sz val="9"/>
        <rFont val="Noto Sans CJK SC"/>
        <charset val="134"/>
      </rPr>
      <t>，右肾：</t>
    </r>
    <r>
      <rPr>
        <sz val="9"/>
        <rFont val="Arial"/>
        <charset val="1"/>
      </rPr>
      <t>3.8cm×2.4cm</t>
    </r>
    <r>
      <rPr>
        <sz val="9"/>
        <rFont val="Noto Sans CJK SC"/>
        <charset val="134"/>
      </rPr>
      <t xml:space="preserve">，集合系统光点群未见明显分离，肾实质内未见明显异常回声。
</t>
    </r>
    <r>
      <rPr>
        <sz val="9"/>
        <rFont val="Arial"/>
        <charset val="1"/>
      </rPr>
      <t>CDFI</t>
    </r>
    <r>
      <rPr>
        <sz val="9"/>
        <rFont val="Noto Sans CJK SC"/>
        <charset val="134"/>
      </rPr>
      <t>：双肾内血流分布未见明显异常。</t>
    </r>
  </si>
  <si>
    <r>
      <rPr>
        <sz val="9"/>
        <rFont val="Noto Sans CJK SC"/>
        <charset val="134"/>
      </rPr>
      <t>肝右肋下</t>
    </r>
    <r>
      <rPr>
        <sz val="9"/>
        <rFont val="Arial"/>
        <charset val="1"/>
      </rPr>
      <t>1.4cm</t>
    </r>
    <r>
      <rPr>
        <sz val="9"/>
        <rFont val="Noto Sans CJK SC"/>
        <charset val="134"/>
      </rPr>
      <t>。
脾脏未见明显异常。
肠间少许积液。
双肾未见明显异常。</t>
    </r>
  </si>
  <si>
    <r>
      <rPr>
        <sz val="9"/>
        <rFont val="Noto Sans CJK SC"/>
        <charset val="134"/>
      </rPr>
      <t>双侧大脑半球脑实质未见异常密度灶，脑室系统未见扩大，脑沟裂未见明显增宽。双侧基底节、丘脑及小脑未见异常。中线结构未见移位。骨窗颅骨未见异常。
肝脾胰及双肾实质未见异常密度灶，大小形态未见异常。胆囊可见显示</t>
    </r>
    <r>
      <rPr>
        <sz val="9"/>
        <rFont val="Arial"/>
        <charset val="1"/>
      </rPr>
      <t>,</t>
    </r>
    <r>
      <rPr>
        <sz val="9"/>
        <rFont val="Noto Sans CJK SC"/>
        <charset val="134"/>
      </rPr>
      <t>内未见高密度灶。肝内外胆管无扩张。中腹部可见肠管围绕血管旋转，肠系膜密度增高。盆腔见少许低密度积液影。肠腔内未见含气影。脐部软组织肿胀。</t>
    </r>
  </si>
  <si>
    <r>
      <rPr>
        <sz val="9"/>
        <rFont val="Noto Sans CJK SC"/>
        <charset val="134"/>
      </rPr>
      <t>颅脑</t>
    </r>
    <r>
      <rPr>
        <sz val="9"/>
        <rFont val="Arial"/>
        <charset val="1"/>
      </rPr>
      <t>CT</t>
    </r>
    <r>
      <rPr>
        <sz val="9"/>
        <rFont val="Noto Sans CJK SC"/>
        <charset val="134"/>
      </rPr>
      <t>平扫未见明显异常。 
肠旋转不良伴中肠扭转，盆腔少许积液；
脐部软组织肿胀。</t>
    </r>
  </si>
  <si>
    <t>2017-10-17</t>
  </si>
  <si>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</si>
  <si>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t>
    </r>
  </si>
  <si>
    <t>腹膜后未见明显异常。</t>
  </si>
  <si>
    <t>2016-04-28</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</si>
  <si>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改变，对比剂通过显示不畅，上组空肠位于右中腹。余各组小肠显示通畅，未见梗阻及扩张。
</t>
    </r>
    <r>
      <rPr>
        <sz val="9"/>
        <rFont val="Arial"/>
        <charset val="1"/>
      </rPr>
      <t>4</t>
    </r>
    <r>
      <rPr>
        <sz val="9"/>
        <rFont val="Noto Sans CJK SC"/>
        <charset val="134"/>
      </rPr>
      <t>小时后复查，对比剂已达直肠，回盲部位置显示不清。</t>
    </r>
  </si>
  <si>
    <t>2021-07-17</t>
  </si>
  <si>
    <r>
      <rPr>
        <sz val="9"/>
        <rFont val="Noto Sans CJK SC"/>
        <charset val="134"/>
      </rPr>
      <t>中上腹部可见一大小约</t>
    </r>
    <r>
      <rPr>
        <sz val="9"/>
        <rFont val="Arial"/>
        <charset val="1"/>
      </rPr>
      <t>2.9cm×2.3cm×1.3cm</t>
    </r>
    <r>
      <rPr>
        <sz val="9"/>
        <rFont val="Noto Sans CJK SC"/>
        <charset val="134"/>
      </rPr>
      <t xml:space="preserve">的光团回声，边界尚清晰，内部回声呈强弱相间的漩涡状回声，可见肠系膜上静脉环绕肠系膜上动脉。
</t>
    </r>
    <r>
      <rPr>
        <sz val="9"/>
        <rFont val="Arial"/>
        <charset val="1"/>
      </rPr>
      <t>CDFI:</t>
    </r>
    <r>
      <rPr>
        <sz val="9"/>
        <rFont val="Noto Sans CJK SC"/>
        <charset val="134"/>
      </rPr>
      <t>上述部位短轴可见漩涡状血流信号，长轴可见螺旋状血流信号。</t>
    </r>
  </si>
  <si>
    <t>中腹部异常光团回声：肠旋转不良可能。</t>
  </si>
  <si>
    <r>
      <rPr>
        <sz val="9"/>
        <rFont val="Noto Sans CJK SC"/>
        <charset val="134"/>
      </rPr>
      <t>腹盆</t>
    </r>
    <r>
      <rPr>
        <sz val="9"/>
        <rFont val="Arial"/>
        <charset val="1"/>
      </rPr>
      <t>CT</t>
    </r>
    <r>
      <rPr>
        <sz val="9"/>
        <rFont val="Noto Sans CJK SC"/>
        <charset val="134"/>
      </rPr>
      <t>平扫（含体层成像及三维重建）</t>
    </r>
  </si>
  <si>
    <t>肝脏形状体积正常，其内密度较均匀，未见明显肿块影；肝内胆管未见明显扩张征象。胆囊可见显示。脾脏及双肾位置、大小、形态及密度未见明显异常改变。胰腺未见明显异常。腹腔内肠管未见明显扩张积液积气，中腹部可见漩涡征及中心点征，周围肠间隙密度减低，腹腔内未见明显积液。腹膜后未见明显占位征象。</t>
  </si>
  <si>
    <t>肠旋转不良多考虑，必要时增强检查。</t>
  </si>
  <si>
    <t>2016-12-16</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</si>
  <si>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中腹部见漩涡征，小肠位于右侧腹部。</t>
  </si>
  <si>
    <r>
      <rPr>
        <sz val="9"/>
        <rFont val="Noto Sans CJK SC"/>
        <charset val="134"/>
      </rPr>
      <t>颅脑</t>
    </r>
    <r>
      <rPr>
        <sz val="9"/>
        <rFont val="Arial"/>
        <charset val="1"/>
      </rPr>
      <t>CT</t>
    </r>
    <r>
      <rPr>
        <sz val="9"/>
        <rFont val="Noto Sans CJK SC"/>
        <charset val="134"/>
      </rPr>
      <t>平扫未见明显异常。 
肠旋转不良；请结合临床。</t>
    </r>
  </si>
  <si>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胃：形态位置正常，壁光整，幽门开放正常，可见胃食管反流</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改变，对比剂通过显示不畅，上组空肠位于中下腹。余各组小肠显示通畅，未见梗阻及扩张。
</t>
    </r>
    <r>
      <rPr>
        <sz val="9"/>
        <rFont val="Arial"/>
        <charset val="1"/>
      </rPr>
      <t>4</t>
    </r>
    <r>
      <rPr>
        <sz val="9"/>
        <rFont val="Noto Sans CJK SC"/>
        <charset val="134"/>
      </rPr>
      <t>小时后复查，对比剂已达直肠，似见回盲部位于中上腹。</t>
    </r>
  </si>
  <si>
    <t>胃食管反流；
中肠旋转不良并十二指肠不全性梗阻。</t>
  </si>
  <si>
    <t>2021-10-29</t>
  </si>
  <si>
    <r>
      <rPr>
        <sz val="9"/>
        <rFont val="Noto Sans CJK SC"/>
        <charset val="134"/>
      </rPr>
      <t>患儿哭闹剧烈！探查欠满意！
中上腹及左、右侧腹被大片肠气强反射回声遮盖，后方结构显示不清，脐下腹部可见多个椭圆形低回声团，边界清晰，内部回声尚均匀，其中较大者约为</t>
    </r>
    <r>
      <rPr>
        <sz val="9"/>
        <rFont val="Arial"/>
        <charset val="1"/>
      </rPr>
      <t>0.7cm×0.5cm</t>
    </r>
    <r>
      <rPr>
        <sz val="9"/>
        <rFont val="Noto Sans CJK SC"/>
        <charset val="134"/>
      </rPr>
      <t xml:space="preserve">，其周围系膜肿胀增厚，回声增强。
</t>
    </r>
    <r>
      <rPr>
        <sz val="9"/>
        <rFont val="Arial"/>
        <charset val="1"/>
      </rPr>
      <t>CDFI</t>
    </r>
    <r>
      <rPr>
        <sz val="9"/>
        <rFont val="Noto Sans CJK SC"/>
        <charset val="134"/>
      </rPr>
      <t>：患儿哭闹，上述部位血流信号杂乱不清。</t>
    </r>
  </si>
  <si>
    <t>中上腹及左、右侧腹受肠积气影响探查受限，请结合其他检查。
下腹部可见多枚肠系膜淋巴结伴周围系膜肿胀。</t>
  </si>
  <si>
    <r>
      <rPr>
        <sz val="9"/>
        <rFont val="Noto Sans CJK SC"/>
        <charset val="134"/>
      </rPr>
      <t xml:space="preserve">患儿哭闹剧烈！探查欠满意！
中上腹及左、右侧腹被大片肠气强反射回声遮盖，后方结构显示不清，余腹膜后大血管旁及其间隙内未见明显局限性肿块图像。
</t>
    </r>
    <r>
      <rPr>
        <sz val="9"/>
        <rFont val="Arial"/>
        <charset val="1"/>
      </rPr>
      <t>CDFI:</t>
    </r>
    <r>
      <rPr>
        <sz val="9"/>
        <rFont val="Noto Sans CJK SC"/>
        <charset val="134"/>
      </rPr>
      <t>上述部位未见明显异常血流信号。</t>
    </r>
  </si>
  <si>
    <t>中上腹及左、右侧腹受肠积气影响探查受限。
余腹膜后未见明显异常。</t>
  </si>
  <si>
    <r>
      <rPr>
        <sz val="9"/>
        <rFont val="Noto Sans CJK SC"/>
        <charset val="134"/>
      </rPr>
      <t>腹盆</t>
    </r>
    <r>
      <rPr>
        <sz val="9"/>
        <rFont val="Arial"/>
        <charset val="1"/>
      </rPr>
      <t>CT</t>
    </r>
    <r>
      <rPr>
        <sz val="9"/>
        <rFont val="Noto Sans CJK SC"/>
        <charset val="134"/>
      </rPr>
      <t>平扫</t>
    </r>
    <r>
      <rPr>
        <sz val="9"/>
        <rFont val="Arial"/>
        <charset val="1"/>
      </rPr>
      <t>+</t>
    </r>
    <r>
      <rPr>
        <sz val="9"/>
        <rFont val="Noto Sans CJK SC"/>
        <charset val="134"/>
      </rPr>
      <t>增强（含体层成像及三维重建）</t>
    </r>
  </si>
  <si>
    <r>
      <rPr>
        <sz val="9"/>
        <rFont val="Noto Sans CJK SC"/>
        <charset val="134"/>
      </rPr>
      <t>肝脏形状体积正常，其内密度较均匀，未见明显肿块影；肝内胆管未见明显扩张征象。胆囊可见显示。脾脏及双肾位置、大小、形态及密度未见明显异常改变。胰腺未见明显异常。肠间隙模糊，胃腔及十二指肠降部扩张，中腹部可见“旋涡征”及“中心点征”，肠系膜淋巴结肿大，盆腔见小片状低密度影。腹膜后未见明显占位征象。增强扫描可见中腹部肠管以肠系膜上动脉为中心旋转约</t>
    </r>
    <r>
      <rPr>
        <sz val="9"/>
        <rFont val="Arial"/>
        <charset val="1"/>
      </rPr>
      <t>720°</t>
    </r>
    <r>
      <rPr>
        <sz val="9"/>
        <rFont val="Noto Sans CJK SC"/>
        <charset val="134"/>
      </rPr>
      <t>，肠系膜上静脉及其属支迂曲扩张；腹腔内实质脏器强化尚均匀。</t>
    </r>
  </si>
  <si>
    <r>
      <rPr>
        <sz val="9"/>
        <rFont val="Arial"/>
        <charset val="1"/>
      </rPr>
      <t>1</t>
    </r>
    <r>
      <rPr>
        <sz val="9"/>
        <rFont val="Noto Sans CJK SC"/>
        <charset val="134"/>
      </rPr>
      <t xml:space="preserve">、肠旋转不良伴中肠扭转、上消化道梗阻；
</t>
    </r>
    <r>
      <rPr>
        <sz val="9"/>
        <rFont val="Arial"/>
        <charset val="1"/>
      </rPr>
      <t>2</t>
    </r>
    <r>
      <rPr>
        <sz val="9"/>
        <rFont val="Noto Sans CJK SC"/>
        <charset val="134"/>
      </rPr>
      <t xml:space="preserve">、肠系膜淋巴结肿大；
</t>
    </r>
    <r>
      <rPr>
        <sz val="9"/>
        <rFont val="Arial"/>
        <charset val="1"/>
      </rPr>
      <t>3</t>
    </r>
    <r>
      <rPr>
        <sz val="9"/>
        <rFont val="Noto Sans CJK SC"/>
        <charset val="134"/>
      </rPr>
      <t>、盆腔少量积液。</t>
    </r>
  </si>
  <si>
    <t>2017-11-01</t>
  </si>
  <si>
    <r>
      <rPr>
        <sz val="9"/>
        <rFont val="Noto Sans CJK SC"/>
        <charset val="134"/>
      </rPr>
      <t xml:space="preserve">全消化道钡餐造影 </t>
    </r>
    <r>
      <rPr>
        <sz val="9"/>
        <rFont val="Arial"/>
        <charset val="1"/>
      </rPr>
      <t>(DR)</t>
    </r>
  </si>
  <si>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改变，对比剂通过显示不畅，上组空肠位于中下腹。
因对比剂较少</t>
    </r>
    <r>
      <rPr>
        <sz val="9"/>
        <rFont val="Arial"/>
        <charset val="1"/>
      </rPr>
      <t>,1</t>
    </r>
    <r>
      <rPr>
        <sz val="9"/>
        <rFont val="Noto Sans CJK SC"/>
        <charset val="134"/>
      </rPr>
      <t>小时后复查</t>
    </r>
    <r>
      <rPr>
        <sz val="9"/>
        <rFont val="Arial"/>
        <charset val="1"/>
      </rPr>
      <t>,</t>
    </r>
    <r>
      <rPr>
        <sz val="9"/>
        <rFont val="Noto Sans CJK SC"/>
        <charset val="134"/>
      </rPr>
      <t>余各组小肠及结肠未显示</t>
    </r>
    <r>
      <rPr>
        <sz val="9"/>
        <rFont val="Arial"/>
        <charset val="1"/>
      </rPr>
      <t>.</t>
    </r>
  </si>
  <si>
    <r>
      <rPr>
        <sz val="9"/>
        <rFont val="Noto Sans CJK SC"/>
        <charset val="134"/>
      </rPr>
      <t>中肠旋转不良并十二指肠不全性梗阻首先考虑</t>
    </r>
    <r>
      <rPr>
        <sz val="9"/>
        <rFont val="Arial"/>
        <charset val="1"/>
      </rPr>
      <t>.</t>
    </r>
  </si>
  <si>
    <t>2020-10-24</t>
  </si>
  <si>
    <t>肝脏形状体积正常，其内密度较均匀，未见明显肿块影；肝内胆管未见明显扩张征象。胆囊可见显示。脾脏及双肾位置、大小、形态及密度未见明显异常改变。胰腺未见明显异常。中腹部见软组织影，肠管未见明显扩张积液积气，肠间见液性低密度影。腹膜后未见明显占位征象。</t>
  </si>
  <si>
    <t>肠旋转不良伴中肠扭转多考虑，腹水；请结合临床。</t>
  </si>
  <si>
    <r>
      <rPr>
        <sz val="9"/>
        <rFont val="Noto Sans CJK SC"/>
        <charset val="134"/>
      </rPr>
      <t>急症床边：
肝肾间隙之间探及范围约为</t>
    </r>
    <r>
      <rPr>
        <sz val="9"/>
        <rFont val="Arial"/>
        <charset val="1"/>
      </rPr>
      <t>1.9cm×0.7cm</t>
    </r>
    <r>
      <rPr>
        <sz val="9"/>
        <rFont val="Noto Sans CJK SC"/>
        <charset val="134"/>
      </rPr>
      <t>的形态欠规则无回声区，边界清晰，其内透声性不佳，可见网格状分隔回声显示，左侧腹肠间液性暗区，较深约</t>
    </r>
    <r>
      <rPr>
        <sz val="9"/>
        <rFont val="Arial"/>
        <charset val="1"/>
      </rPr>
      <t>1.9cm</t>
    </r>
    <r>
      <rPr>
        <sz val="9"/>
        <rFont val="Noto Sans CJK SC"/>
        <charset val="134"/>
      </rPr>
      <t xml:space="preserve">，透声欠佳，可见条状高回声，下腹可见散在片状液性暗区，右侧下腹肠管显示空虚感，回盲部位置偏高，向上中腹偏移，上腹肠管稍扩张，腹膜后未见明显局限性肿块图像。
</t>
    </r>
    <r>
      <rPr>
        <sz val="9"/>
        <rFont val="Arial"/>
        <charset val="1"/>
      </rPr>
      <t>CDFI:</t>
    </r>
    <r>
      <rPr>
        <sz val="9"/>
        <rFont val="Noto Sans CJK SC"/>
        <charset val="134"/>
      </rPr>
      <t>上述上腹部大血管位置显示欠清晰，走行略显紊乱。</t>
    </r>
  </si>
  <si>
    <t>（床边彩超）
肠旋转不良？（腹膜后大血管位置显示欠清晰，走行略显紊乱，扭转待排，建议结合临床）。
腹腔多处积液，积液较粘稠。</t>
  </si>
  <si>
    <t>无法判断</t>
  </si>
  <si>
    <t>2018-05-11</t>
  </si>
  <si>
    <t>肝脏形状体积正常，其内密度较均匀，未见明显肿块影；肝内胆管未见明显扩张征象。胆囊可见显示。脾脏及双肾位置、大小、形态及密度未见明显异常改变。胰腺未见明显异常。腹腔内肠管积液，局部扩张，间隙模糊，腹腔内肠间积液。腹腔内未见明显积液、盆腔积液。腹膜后未见明显占位征象。</t>
  </si>
  <si>
    <t>腹腔内肠管积液，局部扩张，间隙模糊，腹腔内肠间积液。腹腔内未见明显积液、盆腔积液。请结合临床。</t>
  </si>
  <si>
    <t>2017-03-09</t>
  </si>
  <si>
    <r>
      <rPr>
        <sz val="9"/>
        <rFont val="Noto Sans CJK SC"/>
        <charset val="134"/>
      </rPr>
      <t>双侧大脑半球脑实质未见异常密度灶，脑室系统未见扩大，脑沟裂未见明显增宽。双侧基底节、丘脑及小脑未见异常。中线结构未见移位。骨窗颅骨未见异常。枕大池大。右顶部颅外软组织肿胀。
肝脏形状体积正常，其内密度较均匀，未见明显肿块影；肝内胆管未见明显扩张征象。胆囊可见显示。脾脏及双肾位置、大小、形态及密度未见明显异常改变。胰腺未见明显异常。胃泡扩张明显，结肠细小，直径约</t>
    </r>
    <r>
      <rPr>
        <sz val="9"/>
        <rFont val="Arial"/>
        <charset val="1"/>
      </rPr>
      <t>4mm</t>
    </r>
    <r>
      <rPr>
        <sz val="9"/>
        <rFont val="Noto Sans CJK SC"/>
        <charset val="134"/>
      </rPr>
      <t>，腹腔内见明显积液。腹膜后未见明显占位征象。脐部见肠管膨出，形成一包块影，截面大小约</t>
    </r>
    <r>
      <rPr>
        <sz val="9"/>
        <rFont val="Arial"/>
        <charset val="1"/>
      </rPr>
      <t>38mm*29mm</t>
    </r>
    <r>
      <rPr>
        <sz val="9"/>
        <rFont val="Noto Sans CJK SC"/>
        <charset val="134"/>
      </rPr>
      <t>。</t>
    </r>
  </si>
  <si>
    <t>枕大池大，右顶部头皮血肿；
脐膨出（肠管膨出），小肠闭锁多考虑，腹腔积液。</t>
  </si>
  <si>
    <r>
      <rPr>
        <sz val="9"/>
        <rFont val="Noto Sans CJK SC"/>
        <charset val="134"/>
      </rPr>
      <t>夜间急诊超声所见：（腹部被敷料覆盖，就有限切面探查）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0.9cm</t>
    </r>
    <r>
      <rPr>
        <sz val="9"/>
        <rFont val="Noto Sans CJK SC"/>
        <charset val="134"/>
      </rPr>
      <t>。
双肾切面形态正常，左肾：</t>
    </r>
    <r>
      <rPr>
        <sz val="9"/>
        <rFont val="Arial"/>
        <charset val="1"/>
      </rPr>
      <t>3.8cm×1.5cm</t>
    </r>
    <r>
      <rPr>
        <sz val="9"/>
        <rFont val="Noto Sans CJK SC"/>
        <charset val="134"/>
      </rPr>
      <t>，右肾：</t>
    </r>
    <r>
      <rPr>
        <sz val="9"/>
        <rFont val="Arial"/>
        <charset val="1"/>
      </rPr>
      <t>3.8cm×1.6cm</t>
    </r>
    <r>
      <rPr>
        <sz val="9"/>
        <rFont val="Noto Sans CJK SC"/>
        <charset val="134"/>
      </rPr>
      <t xml:space="preserve">，集合系统光点群未见明显分离，肾实质内未见明显异常回声。
全腹充满气体强反射回声，后方结构显示不清。
</t>
    </r>
    <r>
      <rPr>
        <sz val="9"/>
        <rFont val="Arial"/>
        <charset val="1"/>
      </rPr>
      <t>CDFI:</t>
    </r>
    <r>
      <rPr>
        <sz val="9"/>
        <rFont val="Noto Sans CJK SC"/>
        <charset val="134"/>
      </rPr>
      <t>上述部位未见明显异常血流信号。</t>
    </r>
  </si>
  <si>
    <t>肝脏未见明显异常。
脾脏未见明显异常。
双肾未见明显异常。
大量肠积气。</t>
  </si>
  <si>
    <t>2020-07-01</t>
  </si>
  <si>
    <t>胃扩张，肠管内肠液及肠气显示少，肠系膜根部可见漩涡征，肠间隙模糊。肝脏形状体积正常，其内密度较均匀，未见明显肿块影；肝内胆管未见明显扩张征象。胆囊可见显示。脾脏及双肾未见明显异常。腹膜后未见明显占位征象。</t>
  </si>
  <si>
    <t>肠梗阻（十二指肠水平），肠旋转不良；请结合临床。</t>
  </si>
  <si>
    <r>
      <rPr>
        <sz val="9"/>
        <rFont val="Noto Sans CJK SC"/>
        <charset val="134"/>
      </rPr>
      <t>夜间急诊超声所见：
腹部气体干扰较多，脐上可见一内径约</t>
    </r>
    <r>
      <rPr>
        <sz val="9"/>
        <rFont val="Arial"/>
        <charset val="1"/>
      </rPr>
      <t>1.8cm</t>
    </r>
    <r>
      <rPr>
        <sz val="9"/>
        <rFont val="Noto Sans CJK SC"/>
        <charset val="134"/>
      </rPr>
      <t xml:space="preserve">的类“靶环征”，余腹膜后大血管旁及其间隙内未见明显局限性肿块图像。
</t>
    </r>
    <r>
      <rPr>
        <sz val="9"/>
        <rFont val="Arial"/>
        <charset val="1"/>
      </rPr>
      <t>CDFI</t>
    </r>
    <r>
      <rPr>
        <sz val="9"/>
        <rFont val="Noto Sans CJK SC"/>
        <charset val="134"/>
      </rPr>
      <t>：上述类“靶环征”上似可见漩涡状血流信号。</t>
    </r>
  </si>
  <si>
    <t>中上腹部异常光团回声（肠旋转不良可能）</t>
  </si>
  <si>
    <t>2015-11-03</t>
  </si>
  <si>
    <r>
      <rPr>
        <sz val="9"/>
        <rFont val="Noto Sans CJK SC"/>
        <charset val="134"/>
      </rPr>
      <t>片</t>
    </r>
    <r>
      <rPr>
        <sz val="9"/>
        <rFont val="Arial"/>
        <charset val="1"/>
      </rPr>
      <t xml:space="preserve">1-6  </t>
    </r>
    <r>
      <rPr>
        <sz val="9"/>
        <rFont val="Noto Sans CJK SC"/>
        <charset val="134"/>
      </rPr>
      <t>上消化道碘水造影：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十二指肠对比剂通过，空肠位于右中下腹。</t>
    </r>
  </si>
  <si>
    <t>空肠位置异常，中肠旋转不良？建议进一步检查。</t>
  </si>
  <si>
    <t>2016-09-21</t>
  </si>
  <si>
    <r>
      <rPr>
        <sz val="9"/>
        <rFont val="Noto Sans CJK SC"/>
        <charset val="134"/>
      </rPr>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腔及十二指肠上段积气扩张。右侧腹见一类圆形软组织块影，大小约</t>
    </r>
    <r>
      <rPr>
        <sz val="9"/>
        <rFont val="Arial"/>
        <charset val="1"/>
      </rPr>
      <t>24.3mm×31.3mm×50.1mm</t>
    </r>
    <r>
      <rPr>
        <sz val="9"/>
        <rFont val="Noto Sans CJK SC"/>
        <charset val="134"/>
      </rPr>
      <t>，可见肠系膜进入。腹腔内肠管未见明显扩张积液积气，腹腔内未见明显积液。腹膜后未见明显占位征象。
   左肺下叶见斑片状密度增高影，边缘模糊。</t>
    </r>
  </si>
  <si>
    <r>
      <rPr>
        <sz val="9"/>
        <rFont val="Noto Sans CJK SC"/>
        <charset val="134"/>
      </rPr>
      <t>颅脑</t>
    </r>
    <r>
      <rPr>
        <sz val="9"/>
        <rFont val="Arial"/>
        <charset val="1"/>
      </rPr>
      <t>CT</t>
    </r>
    <r>
      <rPr>
        <sz val="9"/>
        <rFont val="Noto Sans CJK SC"/>
        <charset val="134"/>
      </rPr>
      <t>平扫未见明显异常。 
胃腔及十二肠扩张，十二指肠梗阻？
右侧腹异常软组织块影，腹内疝？建议进一步检查。
左肺下叶肺炎。</t>
    </r>
  </si>
  <si>
    <t>2016-04-05</t>
  </si>
  <si>
    <r>
      <rPr>
        <sz val="9"/>
        <rFont val="Noto Sans CJK SC"/>
        <charset val="134"/>
      </rPr>
      <t>双侧大脑半球脑实质未见异常密度灶，脑室系统未见扩大，外侧裂稍宽。双侧基底节、丘脑及小脑未见异常。中线结构未见移位。骨窗颅骨未见异常。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分布紊乱，间隙不清，腹腔中部见类圆形团状影，旋转状，中心见点状高密度影，截面约</t>
    </r>
    <r>
      <rPr>
        <sz val="9"/>
        <rFont val="Arial"/>
        <charset val="1"/>
      </rPr>
      <t>17mmx18mm.</t>
    </r>
    <r>
      <rPr>
        <sz val="9"/>
        <rFont val="Noto Sans CJK SC"/>
        <charset val="134"/>
      </rPr>
      <t>，腹腔内未见明显积液。腹膜后未见明显占位征象。</t>
    </r>
  </si>
  <si>
    <t>外侧裂稍宽。
肠旋转不良并扭转可能；请结合临床综合定性。</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</si>
  <si>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改变，对比剂通过水平段不畅，其近段肠腔扩张。上组空肠位于右中下腹。余各组小肠显示通畅，未见梗阻及扩张。
</t>
    </r>
    <r>
      <rPr>
        <sz val="9"/>
        <rFont val="Arial"/>
        <charset val="1"/>
      </rPr>
      <t>2.5</t>
    </r>
    <r>
      <rPr>
        <sz val="9"/>
        <rFont val="Noto Sans CJK SC"/>
        <charset val="134"/>
      </rPr>
      <t>小时后复查，对比剂已达直肠，似见回盲部位于中腹稍右位置。大部分结肠迂曲于左腹部。</t>
    </r>
  </si>
  <si>
    <t>十二指肠不全性梗阻。中肠旋转不良考虑。</t>
  </si>
  <si>
    <t>2016-10-16</t>
  </si>
  <si>
    <t>胃及十二指肠扩张积气，远端肠管肠气较少。肝脏形状体积正常，其内密度较均匀，未见明显肿块影；肝内胆管未见明显扩张征象。胆囊可见显示。脾脏及双肾未见明显异常，腹腔内未见明显积液。腹膜后未见明显占位征象。
双侧大脑半球脑实质未见异常密度灶，脑室系统未见扩大，脑沟裂未见明显增宽。双侧基底节、丘脑及小脑未见异常。中线结构未见移位。骨窗颅骨未见异常。</t>
  </si>
  <si>
    <r>
      <rPr>
        <sz val="9"/>
        <rFont val="Noto Sans CJK SC"/>
        <charset val="134"/>
      </rPr>
      <t>十二指肠及空肠移行处梗阻，请结合临床；
颅脑</t>
    </r>
    <r>
      <rPr>
        <sz val="9"/>
        <rFont val="Arial"/>
        <charset val="1"/>
      </rPr>
      <t>CT</t>
    </r>
    <r>
      <rPr>
        <sz val="9"/>
        <rFont val="Noto Sans CJK SC"/>
        <charset val="134"/>
      </rPr>
      <t>平扫未见明显异常。</t>
    </r>
  </si>
  <si>
    <r>
      <rPr>
        <sz val="9"/>
        <rFont val="Noto Sans CJK SC"/>
        <charset val="134"/>
      </rPr>
      <t>患儿哭闹，夜间急诊超声所见：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4.0cm×2.0cm</t>
    </r>
    <r>
      <rPr>
        <sz val="9"/>
        <rFont val="Noto Sans CJK SC"/>
        <charset val="134"/>
      </rPr>
      <t>，右肾：</t>
    </r>
    <r>
      <rPr>
        <sz val="9"/>
        <rFont val="Arial"/>
        <charset val="1"/>
      </rPr>
      <t>4.0cm×2.3cm</t>
    </r>
    <r>
      <rPr>
        <sz val="9"/>
        <rFont val="Noto Sans CJK SC"/>
        <charset val="134"/>
      </rPr>
      <t xml:space="preserve">，集合系统光点群未见明显分离，肾实质内未见明显异常回声。
</t>
    </r>
    <r>
      <rPr>
        <sz val="9"/>
        <rFont val="Arial"/>
        <charset val="1"/>
      </rPr>
      <t>CDFI</t>
    </r>
    <r>
      <rPr>
        <sz val="9"/>
        <rFont val="Noto Sans CJK SC"/>
        <charset val="134"/>
      </rPr>
      <t xml:space="preserve">：双肾内血流分布未见明显异常。
全腹充满气体强反射回声，后方结构显示不清。
</t>
    </r>
    <r>
      <rPr>
        <sz val="9"/>
        <rFont val="Arial"/>
        <charset val="1"/>
      </rPr>
      <t>CDFI:</t>
    </r>
    <r>
      <rPr>
        <sz val="9"/>
        <rFont val="Noto Sans CJK SC"/>
        <charset val="134"/>
      </rPr>
      <t>上述部位未见明显异常血流信号。</t>
    </r>
  </si>
  <si>
    <t>2014-10-17</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</si>
  <si>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胃：胃体显示扩张，壁光整，幽门开放正常</t>
    </r>
    <r>
      <rPr>
        <sz val="9"/>
        <rFont val="Arial"/>
        <charset val="1"/>
      </rPr>
      <t xml:space="preserve">;
</t>
    </r>
    <r>
      <rPr>
        <sz val="9"/>
        <rFont val="Noto Sans CJK SC"/>
        <charset val="134"/>
      </rPr>
      <t xml:space="preserve">小肠：十二指肠对比剂通过显示不畅，空肠位于右中下腹，小肠显示通畅，未见梗阻及扩张。
</t>
    </r>
    <r>
      <rPr>
        <sz val="9"/>
        <rFont val="Arial"/>
        <charset val="1"/>
      </rPr>
      <t>2</t>
    </r>
    <r>
      <rPr>
        <sz val="9"/>
        <rFont val="Noto Sans CJK SC"/>
        <charset val="134"/>
      </rPr>
      <t>小时后复查，对比剂已达直肠，回盲部位置显示不清。</t>
    </r>
  </si>
  <si>
    <t>十二指肠不全性梗阻（中肠旋转不良？）。</t>
  </si>
  <si>
    <t>2017-02-02</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</si>
  <si>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改变，对比剂通过不畅，上组空肠位于右中腹部。余各组小肠显示通畅，未见梗阻及扩张。
</t>
    </r>
    <r>
      <rPr>
        <sz val="9"/>
        <rFont val="Arial"/>
        <charset val="1"/>
      </rPr>
      <t>4</t>
    </r>
    <r>
      <rPr>
        <sz val="9"/>
        <rFont val="Noto Sans CJK SC"/>
        <charset val="134"/>
      </rPr>
      <t>小时后复查，对比剂已达直肠，未见正常结肠框形态，回盲部位置显示不清。</t>
    </r>
  </si>
  <si>
    <t>中肠旋转不良并十二指肠不全性梗阻（提示索带形成）。</t>
  </si>
  <si>
    <t>2020-05-13</t>
  </si>
  <si>
    <r>
      <rPr>
        <sz val="9"/>
        <rFont val="Noto Sans CJK SC"/>
        <charset val="134"/>
      </rPr>
      <t>（床旁超声）
脑中线居中；左侧脑室前角（丘脑—尾状核沟处测量）宽约</t>
    </r>
    <r>
      <rPr>
        <sz val="9"/>
        <rFont val="Arial"/>
        <charset val="1"/>
      </rPr>
      <t>4.3mm</t>
    </r>
    <r>
      <rPr>
        <sz val="9"/>
        <rFont val="Noto Sans CJK SC"/>
        <charset val="134"/>
      </rPr>
      <t>，三角区增宽，宽约</t>
    </r>
    <r>
      <rPr>
        <sz val="9"/>
        <rFont val="Arial"/>
        <charset val="1"/>
      </rPr>
      <t>12mm</t>
    </r>
    <r>
      <rPr>
        <sz val="9"/>
        <rFont val="Noto Sans CJK SC"/>
        <charset val="134"/>
      </rPr>
      <t>，后角稍宽，宽约</t>
    </r>
    <r>
      <rPr>
        <sz val="9"/>
        <rFont val="Arial"/>
        <charset val="1"/>
      </rPr>
      <t>9mm</t>
    </r>
    <r>
      <rPr>
        <sz val="9"/>
        <rFont val="Noto Sans CJK SC"/>
        <charset val="134"/>
      </rPr>
      <t xml:space="preserve">；右侧脑室未见明显增宽，脑实质内未见明显异常回声。
</t>
    </r>
    <r>
      <rPr>
        <sz val="9"/>
        <rFont val="Arial"/>
        <charset val="1"/>
      </rPr>
      <t>CDFI</t>
    </r>
    <r>
      <rPr>
        <sz val="9"/>
        <rFont val="Noto Sans CJK SC"/>
        <charset val="134"/>
      </rPr>
      <t xml:space="preserve">：颅内血流分布及各参数未见明显异常。
</t>
    </r>
    <r>
      <rPr>
        <sz val="9"/>
        <rFont val="Arial"/>
        <charset val="1"/>
      </rPr>
      <t>1</t>
    </r>
    <r>
      <rPr>
        <sz val="9"/>
        <rFont val="Noto Sans CJK SC"/>
        <charset val="134"/>
      </rPr>
      <t xml:space="preserve">、主动脉内径不宽，主动脉弓降部正常，肺动脉主干及其分支近端未见明显异常，肺气严重，肺动脉分支远段显示不清；
</t>
    </r>
    <r>
      <rPr>
        <sz val="9"/>
        <rFont val="Arial"/>
        <charset val="1"/>
      </rPr>
      <t>2</t>
    </r>
    <r>
      <rPr>
        <sz val="9"/>
        <rFont val="Noto Sans CJK SC"/>
        <charset val="134"/>
      </rPr>
      <t xml:space="preserve">、心房、心室内径未见明显异常；
</t>
    </r>
    <r>
      <rPr>
        <sz val="9"/>
        <rFont val="Arial"/>
        <charset val="1"/>
      </rPr>
      <t>3</t>
    </r>
    <r>
      <rPr>
        <sz val="9"/>
        <rFont val="Noto Sans CJK SC"/>
        <charset val="134"/>
      </rPr>
      <t xml:space="preserve">、各瓣膜形态、结构、启闭未见明显异常；
</t>
    </r>
    <r>
      <rPr>
        <sz val="9"/>
        <rFont val="Arial"/>
        <charset val="1"/>
      </rPr>
      <t>4</t>
    </r>
    <r>
      <rPr>
        <sz val="9"/>
        <rFont val="Noto Sans CJK SC"/>
        <charset val="134"/>
      </rPr>
      <t xml:space="preserve">、室间隔延续未见明显连续中断；
</t>
    </r>
    <r>
      <rPr>
        <sz val="9"/>
        <rFont val="Arial"/>
        <charset val="1"/>
      </rPr>
      <t>5</t>
    </r>
    <r>
      <rPr>
        <sz val="9"/>
        <rFont val="Noto Sans CJK SC"/>
        <charset val="134"/>
      </rPr>
      <t>、</t>
    </r>
    <r>
      <rPr>
        <sz val="9"/>
        <rFont val="Arial"/>
        <charset val="1"/>
      </rPr>
      <t>CDFI</t>
    </r>
    <r>
      <rPr>
        <sz val="9"/>
        <rFont val="Noto Sans CJK SC"/>
        <charset val="134"/>
      </rPr>
      <t>：房水平探及少量左向右分流信号，分流束宽</t>
    </r>
    <r>
      <rPr>
        <sz val="9"/>
        <rFont val="Arial"/>
        <charset val="1"/>
      </rPr>
      <t>2.5mm</t>
    </r>
    <r>
      <rPr>
        <sz val="9"/>
        <rFont val="Noto Sans CJK SC"/>
        <charset val="134"/>
      </rPr>
      <t xml:space="preserve">；  
</t>
    </r>
    <r>
      <rPr>
        <sz val="9"/>
        <rFont val="Arial"/>
        <charset val="1"/>
      </rPr>
      <t>6</t>
    </r>
    <r>
      <rPr>
        <sz val="9"/>
        <rFont val="Noto Sans CJK SC"/>
        <charset val="134"/>
      </rPr>
      <t>、左室收缩功能测值：</t>
    </r>
    <r>
      <rPr>
        <sz val="9"/>
        <rFont val="Arial"/>
        <charset val="1"/>
      </rPr>
      <t>EF</t>
    </r>
    <r>
      <rPr>
        <sz val="9"/>
        <rFont val="Noto Sans CJK SC"/>
        <charset val="134"/>
      </rPr>
      <t>＝</t>
    </r>
    <r>
      <rPr>
        <sz val="9"/>
        <rFont val="Arial"/>
        <charset val="1"/>
      </rPr>
      <t>65%</t>
    </r>
    <r>
      <rPr>
        <sz val="9"/>
        <rFont val="Noto Sans CJK SC"/>
        <charset val="134"/>
      </rPr>
      <t>；</t>
    </r>
    <r>
      <rPr>
        <sz val="9"/>
        <rFont val="Arial"/>
        <charset val="1"/>
      </rPr>
      <t>FS</t>
    </r>
    <r>
      <rPr>
        <sz val="9"/>
        <rFont val="Noto Sans CJK SC"/>
        <charset val="134"/>
      </rPr>
      <t>＝</t>
    </r>
    <r>
      <rPr>
        <sz val="9"/>
        <rFont val="Arial"/>
        <charset val="1"/>
      </rPr>
      <t>37%</t>
    </r>
    <r>
      <rPr>
        <sz val="9"/>
        <rFont val="Noto Sans CJK SC"/>
        <charset val="134"/>
      </rPr>
      <t xml:space="preserve">；
</t>
    </r>
    <r>
      <rPr>
        <sz val="9"/>
        <rFont val="Arial"/>
        <charset val="1"/>
      </rPr>
      <t>7</t>
    </r>
    <r>
      <rPr>
        <sz val="9"/>
        <rFont val="Noto Sans CJK SC"/>
        <charset val="134"/>
      </rPr>
      <t>、</t>
    </r>
    <r>
      <rPr>
        <sz val="9"/>
        <rFont val="Arial"/>
        <charset val="1"/>
      </rPr>
      <t>TDI</t>
    </r>
    <r>
      <rPr>
        <sz val="9"/>
        <rFont val="Noto Sans CJK SC"/>
        <charset val="134"/>
      </rPr>
      <t>示室间隔基底段</t>
    </r>
    <r>
      <rPr>
        <sz val="9"/>
        <rFont val="Arial"/>
        <charset val="1"/>
      </rPr>
      <t>e'/a'</t>
    </r>
    <r>
      <rPr>
        <sz val="9"/>
        <rFont val="Noto Sans CJK SC"/>
        <charset val="134"/>
      </rPr>
      <t>＞</t>
    </r>
    <r>
      <rPr>
        <sz val="9"/>
        <rFont val="Arial"/>
        <charset val="1"/>
      </rPr>
      <t>1</t>
    </r>
    <r>
      <rPr>
        <sz val="9"/>
        <rFont val="Noto Sans CJK SC"/>
        <charset val="134"/>
      </rPr>
      <t>。
肝脏切面形态正常，肝内光点分布均匀，血管走向清晰，肝右肋下</t>
    </r>
    <r>
      <rPr>
        <sz val="9"/>
        <rFont val="Arial"/>
        <charset val="1"/>
      </rPr>
      <t>1.0cm</t>
    </r>
    <r>
      <rPr>
        <sz val="9"/>
        <rFont val="Noto Sans CJK SC"/>
        <charset val="134"/>
      </rPr>
      <t>。
脾脏切面形态正常，左肋下</t>
    </r>
    <r>
      <rPr>
        <sz val="9"/>
        <rFont val="Arial"/>
        <charset val="1"/>
      </rPr>
      <t>0cm</t>
    </r>
    <r>
      <rPr>
        <sz val="9"/>
        <rFont val="Noto Sans CJK SC"/>
        <charset val="134"/>
      </rPr>
      <t>，厚</t>
    </r>
    <r>
      <rPr>
        <sz val="9"/>
        <rFont val="Arial"/>
        <charset val="1"/>
      </rPr>
      <t>1.3cm</t>
    </r>
    <r>
      <rPr>
        <sz val="9"/>
        <rFont val="Noto Sans CJK SC"/>
        <charset val="134"/>
      </rPr>
      <t xml:space="preserve">。
</t>
    </r>
    <r>
      <rPr>
        <sz val="9"/>
        <rFont val="Arial"/>
        <charset val="1"/>
      </rPr>
      <t>CDFI:</t>
    </r>
    <r>
      <rPr>
        <sz val="9"/>
        <rFont val="Noto Sans CJK SC"/>
        <charset val="134"/>
      </rPr>
      <t>上述部位未见异常血流信号。</t>
    </r>
  </si>
  <si>
    <r>
      <rPr>
        <sz val="9"/>
        <rFont val="Noto Sans CJK SC"/>
        <charset val="134"/>
      </rPr>
      <t>（床旁超声）
左侧脑室三角区及后角增宽。
房水平左向右分流：卵圆孔未闭或小房间隔缺损。（建议复查）
肺气遮挡，肺动脉左、右分支远段显示不佳，建议复查。
左室功能正常。
肝右肋下</t>
    </r>
    <r>
      <rPr>
        <sz val="9"/>
        <rFont val="Arial"/>
        <charset val="1"/>
      </rPr>
      <t>1.0cm</t>
    </r>
    <r>
      <rPr>
        <sz val="9"/>
        <rFont val="Noto Sans CJK SC"/>
        <charset val="134"/>
      </rPr>
      <t>。
脾未见明显异常。</t>
    </r>
  </si>
  <si>
    <t>2016-10-26</t>
  </si>
  <si>
    <r>
      <rPr>
        <sz val="9"/>
        <rFont val="Noto Sans CJK SC"/>
        <charset val="134"/>
      </rPr>
      <t>中上腹部可见一大小约</t>
    </r>
    <r>
      <rPr>
        <sz val="9"/>
        <rFont val="Arial"/>
        <charset val="1"/>
      </rPr>
      <t>4.1cm×2.1cm×1.8cm</t>
    </r>
    <r>
      <rPr>
        <sz val="9"/>
        <rFont val="Noto Sans CJK SC"/>
        <charset val="134"/>
      </rPr>
      <t>的光团回声，边界尚清晰，内部回声呈强弱相间的漩涡状回声，内见扩张的血管环绕。余腹见较多肠气强反射回声。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3.8cm×2.0cm</t>
    </r>
    <r>
      <rPr>
        <sz val="9"/>
        <rFont val="Noto Sans CJK SC"/>
        <charset val="134"/>
      </rPr>
      <t>，右肾：</t>
    </r>
    <r>
      <rPr>
        <sz val="9"/>
        <rFont val="Arial"/>
        <charset val="1"/>
      </rPr>
      <t>4.2cm×1.9cm</t>
    </r>
    <r>
      <rPr>
        <sz val="9"/>
        <rFont val="Noto Sans CJK SC"/>
        <charset val="134"/>
      </rPr>
      <t xml:space="preserve">，集合系统光点群未见明显分离，肾实质内未见明显异常回声。
</t>
    </r>
    <r>
      <rPr>
        <sz val="9"/>
        <rFont val="Arial"/>
        <charset val="1"/>
      </rPr>
      <t>CDFI:</t>
    </r>
    <r>
      <rPr>
        <sz val="9"/>
        <rFont val="Noto Sans CJK SC"/>
        <charset val="134"/>
      </rPr>
      <t>上述部位短轴可见漩涡状血流信号，长轴可见螺旋状血流信号。</t>
    </r>
  </si>
  <si>
    <t>中上腹部异常光团回声（肠旋转不良）。
肝脏未见明显异常。
脾脏未见明显异常。
双肾未见明显异常。</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</si>
  <si>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胃：胃体显示扩张，壁光整，幽门开放正常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1.5</t>
    </r>
    <r>
      <rPr>
        <sz val="9"/>
        <rFont val="Noto Sans CJK SC"/>
        <charset val="134"/>
      </rPr>
      <t>小时后复查，对比剂已达直肠，回盲部显示不清；胃体仍扩张。</t>
    </r>
  </si>
  <si>
    <t>十二指肠不全性梗阻（中肠旋转不良首先考虑）。建议钡灌肠观察回盲部位置。</t>
  </si>
  <si>
    <t>2016-07-15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</si>
  <si>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胃：胃体扩张，幽门管处于开放状态，可见胃食管返流征象</t>
    </r>
    <r>
      <rPr>
        <sz val="9"/>
        <rFont val="Arial"/>
        <charset val="1"/>
      </rPr>
      <t xml:space="preserve">;
</t>
    </r>
    <r>
      <rPr>
        <sz val="9"/>
        <rFont val="Noto Sans CJK SC"/>
        <charset val="134"/>
      </rPr>
      <t>十二指肠：水平段梗阻，对比剂通过困难，其近段肠管稍扩张，远段肠管显示不佳。约</t>
    </r>
    <r>
      <rPr>
        <sz val="9"/>
        <rFont val="Arial"/>
        <charset val="1"/>
      </rPr>
      <t>30</t>
    </r>
    <r>
      <rPr>
        <sz val="9"/>
        <rFont val="Noto Sans CJK SC"/>
        <charset val="134"/>
      </rPr>
      <t>分钟后复查，十二指肠水平段仍梗阻，未见对比剂进入空肠。中下腹致密、肠气少</t>
    </r>
    <r>
      <rPr>
        <sz val="9"/>
        <rFont val="Arial"/>
        <charset val="1"/>
      </rPr>
      <t>.</t>
    </r>
  </si>
  <si>
    <t>十二指肠梗阻。</t>
  </si>
  <si>
    <t>2020-09-20</t>
  </si>
  <si>
    <r>
      <rPr>
        <sz val="9"/>
        <rFont val="Noto Sans CJK SC"/>
        <charset val="134"/>
      </rPr>
      <t>肝脾胰及双肾实质未见异常密度灶，大小形态未见异常。胆囊可见显示</t>
    </r>
    <r>
      <rPr>
        <sz val="9"/>
        <rFont val="Arial"/>
        <charset val="1"/>
      </rPr>
      <t>,</t>
    </r>
    <r>
      <rPr>
        <sz val="9"/>
        <rFont val="Noto Sans CJK SC"/>
        <charset val="134"/>
      </rPr>
      <t>内未见高密度灶。肝内外胆管无扩张。腹腔肠管未见扩张积液积气。中腹部可见“漩涡征”，肠系膜水肿。腹腔及腹膜后未见明显异常肿块影。腹腔见少许液性低密度影。膀胱充盈，壁光滑。</t>
    </r>
  </si>
  <si>
    <t>肠旋转不良伴中肠扭转多考虑，腹腔少许积液，请结合临床。</t>
  </si>
  <si>
    <r>
      <rPr>
        <sz val="9"/>
        <rFont val="Noto Sans CJK SC"/>
        <charset val="134"/>
      </rPr>
      <t>中腹部可见一大小约</t>
    </r>
    <r>
      <rPr>
        <sz val="9"/>
        <rFont val="Arial"/>
        <charset val="1"/>
      </rPr>
      <t>2.5cm×2.2cm</t>
    </r>
    <r>
      <rPr>
        <sz val="9"/>
        <rFont val="Noto Sans CJK SC"/>
        <charset val="134"/>
      </rPr>
      <t xml:space="preserve">的光团回声，边界尚清晰，内部回声呈强弱相间的漩涡状回声，内见扩张的血管环绕，余腹膜后大血管旁及其间隙内未见明显局限性肿块图像。
</t>
    </r>
    <r>
      <rPr>
        <sz val="9"/>
        <rFont val="Arial"/>
        <charset val="1"/>
      </rPr>
      <t>CDFI:</t>
    </r>
    <r>
      <rPr>
        <sz val="9"/>
        <rFont val="Noto Sans CJK SC"/>
        <charset val="134"/>
      </rPr>
      <t>上述部位短轴可见漩涡状血流信号。</t>
    </r>
  </si>
  <si>
    <t>中腹部异常光团回声（肠旋转不良可能）。</t>
  </si>
  <si>
    <t>2020-12-05</t>
  </si>
  <si>
    <r>
      <rPr>
        <sz val="9"/>
        <rFont val="Noto Sans CJK SC"/>
        <charset val="134"/>
      </rPr>
      <t>片</t>
    </r>
    <r>
      <rPr>
        <sz val="9"/>
        <rFont val="Arial"/>
        <charset val="1"/>
      </rPr>
      <t xml:space="preserve">1-6  </t>
    </r>
    <r>
      <rPr>
        <sz val="9"/>
        <rFont val="Noto Sans CJK SC"/>
        <charset val="134"/>
      </rPr>
      <t>消化道碘水造影：
临床提示小肠闭锁：
食管：边缘光滑，对比剂通过顺利</t>
    </r>
    <r>
      <rPr>
        <sz val="9"/>
        <rFont val="Arial"/>
        <charset val="1"/>
      </rPr>
      <t xml:space="preserve">;
</t>
    </r>
    <r>
      <rPr>
        <sz val="9"/>
        <rFont val="Noto Sans CJK SC"/>
        <charset val="134"/>
      </rPr>
      <t>胃：胃体扩张，蠕动亢进，幽门管处于开放状态</t>
    </r>
    <r>
      <rPr>
        <sz val="9"/>
        <rFont val="Arial"/>
        <charset val="1"/>
      </rPr>
      <t xml:space="preserve">;
</t>
    </r>
    <r>
      <rPr>
        <sz val="9"/>
        <rFont val="Noto Sans CJK SC"/>
        <charset val="134"/>
      </rPr>
      <t>小肠：十二指肠形态异常，似呈螺旋状，十二指肠降段扭曲明显，局部似显狭窄，对比剂通过不良，十二指肠中远段及空肠起始段肠管明显扩张呈</t>
    </r>
    <r>
      <rPr>
        <sz val="9"/>
        <rFont val="Arial"/>
        <charset val="1"/>
      </rPr>
      <t>"</t>
    </r>
    <r>
      <rPr>
        <sz val="9"/>
        <rFont val="Noto Sans CJK SC"/>
        <charset val="134"/>
      </rPr>
      <t>囊袋状</t>
    </r>
    <r>
      <rPr>
        <sz val="9"/>
        <rFont val="Arial"/>
        <charset val="1"/>
      </rPr>
      <t>"</t>
    </r>
    <r>
      <rPr>
        <sz val="9"/>
        <rFont val="Noto Sans CJK SC"/>
        <charset val="134"/>
      </rPr>
      <t>，对比剂通过受阻。
约</t>
    </r>
    <r>
      <rPr>
        <sz val="9"/>
        <rFont val="Arial"/>
        <charset val="1"/>
      </rPr>
      <t>30</t>
    </r>
    <r>
      <rPr>
        <sz val="9"/>
        <rFont val="Noto Sans CJK SC"/>
        <charset val="134"/>
      </rPr>
      <t>分钟后复查，胃、十二指肠、空肠起始段仍扩张明显，未见对比剂进入远端肠管。余腹部未见肠气影。</t>
    </r>
  </si>
  <si>
    <t>空肠起始段梗阻（肠闭锁）多考虑；
十二指肠似呈螺旋状，十二指肠降段扭曲明显，局部似显狭窄，对比剂通过不良；中肠旋转不良合并肠扭转？建议进一步检查。</t>
  </si>
  <si>
    <t>2020-10-30</t>
  </si>
  <si>
    <r>
      <rPr>
        <sz val="9"/>
        <rFont val="Noto Sans CJK SC"/>
        <charset val="134"/>
      </rPr>
      <t>中上腹部可见一大小约</t>
    </r>
    <r>
      <rPr>
        <sz val="9"/>
        <rFont val="Arial"/>
        <charset val="1"/>
      </rPr>
      <t>3.3cm×3.1cm</t>
    </r>
    <r>
      <rPr>
        <sz val="9"/>
        <rFont val="Noto Sans CJK SC"/>
        <charset val="134"/>
      </rPr>
      <t xml:space="preserve">的光团回声，边界尚清晰，内部回声呈强弱相间的漩涡状回声，内见扩张的血管环绕，右下腹未见回盲部显示，余腹未见明显局限性异常回声。
</t>
    </r>
    <r>
      <rPr>
        <sz val="9"/>
        <rFont val="Arial"/>
        <charset val="1"/>
      </rPr>
      <t>CDFI:</t>
    </r>
    <r>
      <rPr>
        <sz val="9"/>
        <rFont val="Noto Sans CJK SC"/>
        <charset val="134"/>
      </rPr>
      <t>上述部位短轴可见漩涡状血流信号，长轴可见螺旋状血流信号。</t>
    </r>
  </si>
  <si>
    <t>2014-06-02</t>
  </si>
  <si>
    <r>
      <rPr>
        <sz val="9"/>
        <rFont val="Noto Sans CJK SC"/>
        <charset val="134"/>
      </rPr>
      <t>双侧大脑半球脑实质未见异常密度灶，脑室系统未见扩大，脑沟裂未见明显增宽。双侧基底节、丘脑及小脑未见异常。中线结构未见移位。骨窗颅骨未见异常。
肝脾胰及双肾实质未见异常密度灶，大小形态未见异常。胆囊可见显示</t>
    </r>
    <r>
      <rPr>
        <sz val="9"/>
        <rFont val="Arial"/>
        <charset val="1"/>
      </rPr>
      <t>,</t>
    </r>
    <r>
      <rPr>
        <sz val="9"/>
        <rFont val="Noto Sans CJK SC"/>
        <charset val="134"/>
      </rPr>
      <t>内未见高密度灶。肝内外胆管无扩张。腹腔肠管未见明显扩张积气积液，部分肠壁似可见串珠状积气影。腹部正中可见肠管及肠系膜旋转呈</t>
    </r>
    <r>
      <rPr>
        <sz val="9"/>
        <rFont val="Arial"/>
        <charset val="1"/>
      </rPr>
      <t>"</t>
    </r>
    <r>
      <rPr>
        <sz val="9"/>
        <rFont val="Noto Sans CJK SC"/>
        <charset val="134"/>
      </rPr>
      <t>漩涡征</t>
    </r>
    <r>
      <rPr>
        <sz val="9"/>
        <rFont val="Arial"/>
        <charset val="1"/>
      </rPr>
      <t>"</t>
    </r>
    <r>
      <rPr>
        <sz val="9"/>
        <rFont val="Noto Sans CJK SC"/>
        <charset val="134"/>
      </rPr>
      <t>；乙状结肠及降结肠向中线移位。腹腔及腹膜后未见明显异常肿块影。</t>
    </r>
  </si>
  <si>
    <r>
      <rPr>
        <sz val="9"/>
        <rFont val="Noto Sans CJK SC"/>
        <charset val="134"/>
      </rPr>
      <t>颅脑</t>
    </r>
    <r>
      <rPr>
        <sz val="9"/>
        <rFont val="Arial"/>
        <charset val="1"/>
      </rPr>
      <t>CT</t>
    </r>
    <r>
      <rPr>
        <sz val="9"/>
        <rFont val="Noto Sans CJK SC"/>
        <charset val="134"/>
      </rPr>
      <t>平扫未见明显异常。 
上述异常征象多考虑为中肠旋转不良伴肠扭转所致，部分肠壁似可见积气；请结合临床综合定性。</t>
    </r>
  </si>
  <si>
    <t>2015-09-04</t>
  </si>
  <si>
    <r>
      <rPr>
        <sz val="9"/>
        <rFont val="Noto Sans CJK SC"/>
        <charset val="134"/>
      </rPr>
      <t>片序</t>
    </r>
    <r>
      <rPr>
        <sz val="9"/>
        <rFont val="Arial"/>
        <charset val="1"/>
      </rPr>
      <t xml:space="preserve">1-6  </t>
    </r>
    <r>
      <rPr>
        <sz val="9"/>
        <rFont val="Noto Sans CJK SC"/>
        <charset val="134"/>
      </rPr>
      <t>全消化道碘水造影：
食管：边缘光滑，对比剂通过顺利；
胃：胃体扩张，蠕动亢进，幽门管处于开放状态；
十二指肠：十二指肠球部及球后段肠管明显扩张，对比剂通过受阻。约</t>
    </r>
    <r>
      <rPr>
        <sz val="9"/>
        <rFont val="Arial"/>
        <charset val="1"/>
      </rPr>
      <t>1.5</t>
    </r>
    <r>
      <rPr>
        <sz val="9"/>
        <rFont val="Noto Sans CJK SC"/>
        <charset val="134"/>
      </rPr>
      <t>小时后复查，胃及十二指肠扩张明显，未见对比剂进入空肠。</t>
    </r>
  </si>
  <si>
    <t>十二指肠梗阻，建议临床进一步检查鉴别肠旋转不良或肠闭锁。</t>
  </si>
  <si>
    <r>
      <rPr>
        <sz val="9"/>
        <rFont val="Noto Sans CJK SC"/>
        <charset val="134"/>
      </rPr>
      <t>双侧大脑半球脑白质密度稍低，</t>
    </r>
    <r>
      <rPr>
        <sz val="9"/>
        <rFont val="Arial"/>
        <charset val="1"/>
      </rPr>
      <t>CT</t>
    </r>
    <r>
      <rPr>
        <sz val="9"/>
        <rFont val="Noto Sans CJK SC"/>
        <charset val="134"/>
      </rPr>
      <t>值约</t>
    </r>
    <r>
      <rPr>
        <sz val="9"/>
        <rFont val="Arial"/>
        <charset val="1"/>
      </rPr>
      <t>14-18HU</t>
    </r>
    <r>
      <rPr>
        <sz val="9"/>
        <rFont val="Noto Sans CJK SC"/>
        <charset val="134"/>
      </rPr>
      <t>，脑室系统未见扩大，脑沟裂未见明显增宽，大脑皮层稍薄。双侧基底节、丘脑及小脑未见异常。中线结构未见移位。骨窗颅骨未见异常。
肝脏、脾脏、胰腺及双肾未见明显异常，胆囊可见显示，胆管未见扩张，腹腔内胃及十二指肠扩张，左中下腹部分肠管显示细小</t>
    </r>
    <r>
      <rPr>
        <sz val="9"/>
        <rFont val="Arial"/>
        <charset val="1"/>
      </rPr>
      <t>,</t>
    </r>
    <r>
      <rPr>
        <sz val="9"/>
        <rFont val="Noto Sans CJK SC"/>
        <charset val="134"/>
      </rPr>
      <t>肠管间隙模糊，腹腔可见积液。腹膜后未见明显占位征象。</t>
    </r>
  </si>
  <si>
    <t>早产儿脑表现；
胃及十二指肠扩张，左中下腹部分肠管显示细小，肠闭锁可能；腹腔积液。
请结合临床进一步检查定性。</t>
  </si>
  <si>
    <t>2015-06-03</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</si>
  <si>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改变，对比剂通过受限，空肠未显影。
</t>
    </r>
    <r>
      <rPr>
        <sz val="9"/>
        <rFont val="Arial"/>
        <charset val="1"/>
      </rPr>
      <t>2</t>
    </r>
    <r>
      <rPr>
        <sz val="9"/>
        <rFont val="Noto Sans CJK SC"/>
        <charset val="134"/>
      </rPr>
      <t>小时后复查，对比剂仍受阻于十二指肠水平段。远段小肠未见对比剂影，中下腹致密，未见肠气影。</t>
    </r>
  </si>
  <si>
    <t>十二指肠梗阻（中肠旋转不良？）。</t>
  </si>
  <si>
    <t>2021-08-27</t>
  </si>
  <si>
    <r>
      <rPr>
        <sz val="9"/>
        <rFont val="Noto Sans CJK SC"/>
        <charset val="134"/>
      </rPr>
      <t>中上腹部可见一大小约</t>
    </r>
    <r>
      <rPr>
        <sz val="9"/>
        <rFont val="Arial"/>
        <charset val="1"/>
      </rPr>
      <t>2.0cm×2.1cm×3.5cm</t>
    </r>
    <r>
      <rPr>
        <sz val="9"/>
        <rFont val="Noto Sans CJK SC"/>
        <charset val="134"/>
      </rPr>
      <t xml:space="preserve">的光团回声，边界尚清晰，内部回声呈强弱相间的漩涡状回声，内见扩张的血管环绕。余腹可见较多肠气强反射回声。
</t>
    </r>
    <r>
      <rPr>
        <sz val="9"/>
        <rFont val="Arial"/>
        <charset val="1"/>
      </rPr>
      <t>CDFI</t>
    </r>
    <r>
      <rPr>
        <sz val="9"/>
        <rFont val="Noto Sans CJK SC"/>
        <charset val="134"/>
      </rPr>
      <t>：上述光团内见漩涡环绕的动静脉血流信号。</t>
    </r>
  </si>
  <si>
    <t>肝脾胰及双肾实质未见异常密度灶，大小形态未见异常。胆囊可见显示，内未见高密度灶。肝内外胆管无扩张。腹腔部分肠管未见明显扩张，肠管内肠气及肠液较少。肠系膜根部可见旋涡征。腹膜后未见明显异常肿块影。</t>
  </si>
  <si>
    <t>肠系膜根部可见旋涡征，肠旋转不良多考虑，请结合临床。</t>
  </si>
  <si>
    <t>2021-12-03</t>
  </si>
  <si>
    <t>腹膜后未见明显肿块。</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</si>
  <si>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小肠：十二指肠显示扩张，对比剂通过困难，十二指肠空肠曲似呈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改变，对比剂通过显示不畅，空肠位于右侧腹。余各组小肠显示通畅，未见梗阻及扩张。
</t>
    </r>
    <r>
      <rPr>
        <sz val="9"/>
        <rFont val="Arial"/>
        <charset val="1"/>
      </rPr>
      <t>2</t>
    </r>
    <r>
      <rPr>
        <sz val="9"/>
        <rFont val="Noto Sans CJK SC"/>
        <charset val="134"/>
      </rPr>
      <t>小时后复查，对比剂已达直肠，未见正常结肠框形态，回盲部位置显示不清。</t>
    </r>
  </si>
  <si>
    <t>中肠旋转不良合并肠扭转多考虑。</t>
  </si>
  <si>
    <r>
      <rPr>
        <sz val="9"/>
        <rFont val="Noto Sans CJK SC"/>
        <charset val="134"/>
      </rPr>
      <t>上腹部气体干扰较多，脐上可见一大小约</t>
    </r>
    <r>
      <rPr>
        <sz val="9"/>
        <rFont val="Arial"/>
        <charset val="1"/>
      </rPr>
      <t>2.9cm×2.6cm</t>
    </r>
    <r>
      <rPr>
        <sz val="9"/>
        <rFont val="Noto Sans CJK SC"/>
        <charset val="134"/>
      </rPr>
      <t>的类</t>
    </r>
    <r>
      <rPr>
        <sz val="9"/>
        <rFont val="Arial"/>
        <charset val="1"/>
      </rPr>
      <t>"</t>
    </r>
    <r>
      <rPr>
        <sz val="9"/>
        <rFont val="Noto Sans CJK SC"/>
        <charset val="134"/>
      </rPr>
      <t>靶环征</t>
    </r>
    <r>
      <rPr>
        <sz val="9"/>
        <rFont val="Arial"/>
        <charset val="1"/>
      </rPr>
      <t>"</t>
    </r>
    <r>
      <rPr>
        <sz val="9"/>
        <rFont val="Noto Sans CJK SC"/>
        <charset val="134"/>
      </rPr>
      <t>，边界尚清晰，内见扩张的血管环绕，下腹部肠间可见游离性无回声区，较大前后径约</t>
    </r>
    <r>
      <rPr>
        <sz val="9"/>
        <rFont val="Arial"/>
        <charset val="1"/>
      </rPr>
      <t>0.9cm</t>
    </r>
    <r>
      <rPr>
        <sz val="9"/>
        <rFont val="Noto Sans CJK SC"/>
        <charset val="134"/>
      </rPr>
      <t xml:space="preserve">，余腹未见明显局限性异常回声。
</t>
    </r>
    <r>
      <rPr>
        <sz val="9"/>
        <rFont val="Arial"/>
        <charset val="1"/>
      </rPr>
      <t>CDFI</t>
    </r>
    <r>
      <rPr>
        <sz val="9"/>
        <rFont val="Noto Sans CJK SC"/>
        <charset val="134"/>
      </rPr>
      <t>：上述类</t>
    </r>
    <r>
      <rPr>
        <sz val="9"/>
        <rFont val="Arial"/>
        <charset val="1"/>
      </rPr>
      <t>"</t>
    </r>
    <r>
      <rPr>
        <sz val="9"/>
        <rFont val="Noto Sans CJK SC"/>
        <charset val="134"/>
      </rPr>
      <t>靶环征</t>
    </r>
    <r>
      <rPr>
        <sz val="9"/>
        <rFont val="Arial"/>
        <charset val="1"/>
      </rPr>
      <t>"</t>
    </r>
    <r>
      <rPr>
        <sz val="9"/>
        <rFont val="Noto Sans CJK SC"/>
        <charset val="134"/>
      </rPr>
      <t>上似可见漩涡状血流信号。</t>
    </r>
  </si>
  <si>
    <t>中腹部异常光团回声（肠旋转不良多考虑）。
腹腔少量游离性积液。</t>
  </si>
  <si>
    <r>
      <rPr>
        <sz val="9"/>
        <rFont val="Noto Sans CJK SC"/>
        <charset val="134"/>
      </rPr>
      <t>片</t>
    </r>
    <r>
      <rPr>
        <sz val="9"/>
        <rFont val="Arial"/>
        <charset val="1"/>
      </rPr>
      <t xml:space="preserve">1-6  </t>
    </r>
    <r>
      <rPr>
        <sz val="9"/>
        <rFont val="Noto Sans CJK SC"/>
        <charset val="134"/>
      </rPr>
      <t>消化道碘水造影：
“中肠旋转不良”术后：
食管：边缘光滑，对比剂通过顺利</t>
    </r>
    <r>
      <rPr>
        <sz val="9"/>
        <rFont val="Arial"/>
        <charset val="1"/>
      </rPr>
      <t xml:space="preserve">;
</t>
    </r>
    <r>
      <rPr>
        <sz val="9"/>
        <rFont val="Noto Sans CJK SC"/>
        <charset val="134"/>
      </rPr>
      <t>胃：胃呈“水平状”，贲门位置正常，幽门管开口偏向后下方，其开放正常</t>
    </r>
    <r>
      <rPr>
        <sz val="9"/>
        <rFont val="Arial"/>
        <charset val="1"/>
      </rPr>
      <t xml:space="preserve">;
</t>
    </r>
    <r>
      <rPr>
        <sz val="9"/>
        <rFont val="Noto Sans CJK SC"/>
        <charset val="134"/>
      </rPr>
      <t>小肠：未见正常十二指肠圈，十二指肠及上组空肠位于右中腹，空肠肠管显示扩张。
约</t>
    </r>
    <r>
      <rPr>
        <sz val="9"/>
        <rFont val="Arial"/>
        <charset val="1"/>
      </rPr>
      <t>2</t>
    </r>
    <r>
      <rPr>
        <sz val="9"/>
        <rFont val="Noto Sans CJK SC"/>
        <charset val="134"/>
      </rPr>
      <t>小时后复查，对比剂仍潴留小肠，小肠肠管明显扩张，对比剂未进入结肠。泌尿系内可见对比剂。</t>
    </r>
  </si>
  <si>
    <t>不全性小肠梗阻。</t>
  </si>
  <si>
    <t>2022-02-02</t>
  </si>
  <si>
    <t>腹腔肠管内较多造影剂残留，影响观察，所示：
肝脏形状体积正常，其内密度较均匀，未见明显肿块影；肝内胆管未见明显扩张征象。胆囊可见显示。脾脏及双肾位置、大小、形态及密度未见明显异常改变。胰腺未见明显异常。腹腔内肠管可见扩张积液积气，肠间隙稍模糊，腹腔内未见明显积液。腹膜后未见明显占位征象。</t>
  </si>
  <si>
    <t>腹腔肠管积气，肠间隙稍模糊。</t>
  </si>
  <si>
    <t>2022-03-24</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</si>
  <si>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</si>
  <si>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r>
      <rPr>
        <sz val="9"/>
        <rFont val="Noto Sans CJK SC"/>
        <charset val="134"/>
      </rPr>
      <t>腹盆</t>
    </r>
    <r>
      <rPr>
        <sz val="9"/>
        <rFont val="Arial"/>
        <charset val="1"/>
      </rPr>
      <t>CT</t>
    </r>
    <r>
      <rPr>
        <sz val="9"/>
        <rFont val="Noto Sans CJK SC"/>
        <charset val="134"/>
      </rPr>
      <t>平扫未见明显异常；请结合临床必要时行增强</t>
    </r>
    <r>
      <rPr>
        <sz val="9"/>
        <rFont val="Arial"/>
        <charset val="1"/>
      </rPr>
      <t>CT</t>
    </r>
    <r>
      <rPr>
        <sz val="9"/>
        <rFont val="Noto Sans CJK SC"/>
        <charset val="134"/>
      </rPr>
      <t>检查。</t>
    </r>
  </si>
  <si>
    <r>
      <rPr>
        <sz val="9"/>
        <rFont val="Noto Sans CJK SC"/>
        <charset val="134"/>
      </rPr>
      <t>腹盆</t>
    </r>
    <r>
      <rPr>
        <sz val="9"/>
        <rFont val="Arial"/>
        <charset val="1"/>
      </rPr>
      <t>CT</t>
    </r>
    <r>
      <rPr>
        <sz val="9"/>
        <rFont val="Noto Sans CJK SC"/>
        <charset val="134"/>
      </rPr>
      <t>增强扫描</t>
    </r>
    <r>
      <rPr>
        <sz val="9"/>
        <rFont val="Arial"/>
        <charset val="1"/>
      </rPr>
      <t>+</t>
    </r>
    <r>
      <rPr>
        <sz val="9"/>
        <rFont val="Noto Sans CJK SC"/>
        <charset val="134"/>
      </rPr>
      <t>体层成像</t>
    </r>
    <r>
      <rPr>
        <sz val="9"/>
        <rFont val="Arial"/>
        <charset val="1"/>
      </rPr>
      <t>+</t>
    </r>
    <r>
      <rPr>
        <sz val="9"/>
        <rFont val="Noto Sans CJK SC"/>
        <charset val="134"/>
      </rPr>
      <t>三维重建</t>
    </r>
  </si>
  <si>
    <t>增强扫描：肝脾及双肾强化均匀，未见异常强化影。腹部大血管及肠系膜动静脉可见强化，肠系膜静脉稍增粗。中腹部肠系膜血管周围可见旋转的肠管环绕，呈“漩涡状”。肠系膜密度增高。腹膜后未见异常强化肿块影。
（扫描所及）左侧睾丸周围见环形低密度影。</t>
  </si>
  <si>
    <t>上述异常征象多考虑为肠旋转不良并中肠扭转，请结合临床；
（扫描所及）左侧睾丸鞘膜积液。</t>
  </si>
  <si>
    <t>2022-04-30</t>
  </si>
  <si>
    <t>肝脏形状体积正常，其内密度较均匀，未见明显肿块影；肝内胆管未见明显扩张征象。胆囊可见显示。脾脏及双肾位置、大小、形态及密度未见明显异常改变。胰腺未见明显异常。肠间隙稍模糊，中腹部肠系膜显示纠集、水肿，似可见“旋涡”征及“中心点”征，其下缘可见十二指肠水平段，腹腔内部分肠管积气，腹腔内未见明显积液。腹膜后未见明显占位征象。</t>
  </si>
  <si>
    <t>上述异常征象，先天性肠旋转不良可能，建议进一步增强检查。</t>
  </si>
  <si>
    <t>2022-05-14</t>
  </si>
  <si>
    <r>
      <rPr>
        <sz val="9"/>
        <rFont val="Noto Sans CJK SC"/>
        <charset val="134"/>
      </rPr>
      <t>片</t>
    </r>
    <r>
      <rPr>
        <sz val="9"/>
        <rFont val="Arial"/>
        <charset val="1"/>
      </rPr>
      <t xml:space="preserve">1-4  </t>
    </r>
    <r>
      <rPr>
        <sz val="9"/>
        <rFont val="Noto Sans CJK SC"/>
        <charset val="134"/>
      </rPr>
      <t>消化道碘水造影：
食管：边缘光滑，对比剂通过顺利</t>
    </r>
    <r>
      <rPr>
        <sz val="9"/>
        <rFont val="Arial"/>
        <charset val="1"/>
      </rPr>
      <t xml:space="preserve">;
</t>
    </r>
    <r>
      <rPr>
        <sz val="9"/>
        <rFont val="Noto Sans CJK SC"/>
        <charset val="134"/>
      </rPr>
      <t>胃：胃体扩张，蠕动亢进，幽门管处于开放状态，可见胃食管返流征象</t>
    </r>
    <r>
      <rPr>
        <sz val="9"/>
        <rFont val="Arial"/>
        <charset val="1"/>
      </rPr>
      <t xml:space="preserve">;
</t>
    </r>
    <r>
      <rPr>
        <sz val="9"/>
        <rFont val="Noto Sans CJK SC"/>
        <charset val="134"/>
      </rPr>
      <t>十二指肠：降段显示变扩张，水平段对比剂通过困难，其近段肠管明显扩张，远段肠管显示不佳。
约</t>
    </r>
    <r>
      <rPr>
        <sz val="9"/>
        <rFont val="Arial"/>
        <charset val="1"/>
      </rPr>
      <t>30</t>
    </r>
    <r>
      <rPr>
        <sz val="9"/>
        <rFont val="Noto Sans CJK SC"/>
        <charset val="134"/>
      </rPr>
      <t>分钟，</t>
    </r>
    <r>
      <rPr>
        <sz val="9"/>
        <rFont val="Arial"/>
        <charset val="1"/>
      </rPr>
      <t>2</t>
    </r>
    <r>
      <rPr>
        <sz val="9"/>
        <rFont val="Noto Sans CJK SC"/>
        <charset val="134"/>
      </rPr>
      <t>小时后复查，十二指肠水平段仍显狭窄，仅少量对比剂进入空肠。</t>
    </r>
  </si>
  <si>
    <t>十二指肠不全性梗阻
中肠旋转不良可能性大。建议进一步检查。</t>
  </si>
  <si>
    <t>肝脾胰及双肾实质未见异常密度灶，大小形态未见异常。胆囊可见显示。肝内外胆管无扩张。肠管可见造影剂残留。部分小肠位于右侧腹，中腹部肠管显示纠集，似呈旋涡状。腹盆腔未见积液征象。</t>
  </si>
  <si>
    <t>肠旋转不良多考虑，请结合临床。</t>
  </si>
  <si>
    <t>2022-05-27</t>
  </si>
  <si>
    <t>胃肠道彩超</t>
  </si>
  <si>
    <r>
      <rPr>
        <sz val="9"/>
        <rFont val="Noto Sans CJK SC"/>
        <charset val="134"/>
      </rPr>
      <t xml:space="preserve">脐上肠系膜上动脉及静脉稍具旋转感，未见典型“靶环征”，胃腔、十二指肠液体充盈，水平部可见穿过肠系膜上动脉及腹主动脉之间向左上腹走行，十二指肠与空肠交界处可见明显分界，空肠回肠萎瘪，余腹未见明显局限性异常包块回声及积液征。
</t>
    </r>
    <r>
      <rPr>
        <sz val="9"/>
        <rFont val="Arial"/>
        <charset val="1"/>
      </rPr>
      <t>CDFI:</t>
    </r>
    <r>
      <rPr>
        <sz val="9"/>
        <rFont val="Noto Sans CJK SC"/>
        <charset val="134"/>
      </rPr>
      <t>上述部位未见明显异常血流信号。</t>
    </r>
  </si>
  <si>
    <r>
      <rPr>
        <sz val="9"/>
        <rFont val="Noto Sans CJK SC"/>
        <charset val="134"/>
      </rPr>
      <t>胃、十二指肠充盈，空肠回肠萎瘪（十二指肠</t>
    </r>
    <r>
      <rPr>
        <sz val="9"/>
        <rFont val="Arial"/>
        <charset val="1"/>
      </rPr>
      <t>-</t>
    </r>
    <r>
      <rPr>
        <sz val="9"/>
        <rFont val="Noto Sans CJK SC"/>
        <charset val="134"/>
      </rPr>
      <t>空肠交界处梗阻多考虑，请结合临床）。
脐上肠系膜上动脉及静脉稍具旋转感（不典型肠旋转不良可能）。</t>
    </r>
  </si>
  <si>
    <r>
      <rPr>
        <sz val="9"/>
        <rFont val="Noto Sans CJK SC"/>
        <charset val="134"/>
      </rPr>
      <t>肝脏形状体积正常，其内密度较均匀，未见明显肿块影；肝内胆管未见明显扩张征象。胆囊可见显示。脾脏及双肾位置、大小、形态及密度未见明显异常改变。胰腺显示欠清。胃稍扩张，肠管内可见造影剂填充，肠间隙模糊、少许积液</t>
    </r>
    <r>
      <rPr>
        <sz val="9"/>
        <rFont val="Arial"/>
        <charset val="1"/>
      </rPr>
      <t>.</t>
    </r>
    <r>
      <rPr>
        <sz val="9"/>
        <rFont val="Noto Sans CJK SC"/>
        <charset val="134"/>
      </rPr>
      <t>肠管未见明显扩张积液积气。腹膜后未见明显占位征象。扫描所及双肺见片状高密度影。</t>
    </r>
  </si>
  <si>
    <t>胃稍扩张，肠间隙模糊、少许积液，肠管内可见造影剂填充；请结合临床；必要时增强扫描。
扫描所及双肺炎性改变。</t>
  </si>
  <si>
    <r>
      <rPr>
        <sz val="9"/>
        <rFont val="Noto Sans CJK SC"/>
        <charset val="134"/>
      </rPr>
      <t>脐上肠系膜上动脉及静脉稍具旋转感，未见典型</t>
    </r>
    <r>
      <rPr>
        <sz val="9"/>
        <rFont val="Arial"/>
        <charset val="1"/>
      </rPr>
      <t>"</t>
    </r>
    <r>
      <rPr>
        <sz val="9"/>
        <rFont val="Noto Sans CJK SC"/>
        <charset val="134"/>
      </rPr>
      <t>靶环征</t>
    </r>
    <r>
      <rPr>
        <sz val="9"/>
        <rFont val="Arial"/>
        <charset val="1"/>
      </rPr>
      <t>"</t>
    </r>
    <r>
      <rPr>
        <sz val="9"/>
        <rFont val="Noto Sans CJK SC"/>
        <charset val="134"/>
      </rPr>
      <t xml:space="preserve">，余腹膜后大血管旁及其间隙内未见明显局限性肿块图像。
</t>
    </r>
    <r>
      <rPr>
        <sz val="9"/>
        <rFont val="Arial"/>
        <charset val="1"/>
      </rPr>
      <t>CDFI:</t>
    </r>
    <r>
      <rPr>
        <sz val="9"/>
        <rFont val="Noto Sans CJK SC"/>
        <charset val="134"/>
      </rPr>
      <t>上述部位未见明显异常血流信号。</t>
    </r>
  </si>
  <si>
    <t>脐上肠系膜上动脉及静脉稍具旋转感（不典型肠旋转不良可能）。
余腹膜后未见明显异常。</t>
  </si>
  <si>
    <t>2022-10-10</t>
  </si>
  <si>
    <t>全消化道碘水造影</t>
  </si>
  <si>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改变，对比剂通过显示不畅，上组空肠位于左中下腹。余各组小肠显示通畅，未见梗阻及扩张。
</t>
    </r>
    <r>
      <rPr>
        <sz val="9"/>
        <rFont val="Arial"/>
        <charset val="1"/>
      </rPr>
      <t>1</t>
    </r>
    <r>
      <rPr>
        <sz val="9"/>
        <rFont val="Noto Sans CJK SC"/>
        <charset val="134"/>
      </rPr>
      <t>小时</t>
    </r>
    <r>
      <rPr>
        <sz val="9"/>
        <rFont val="Arial"/>
        <charset val="1"/>
      </rPr>
      <t>30</t>
    </r>
    <r>
      <rPr>
        <sz val="9"/>
        <rFont val="Noto Sans CJK SC"/>
        <charset val="134"/>
      </rPr>
      <t>分钟后复查，对比剂已达直肠，结肠大部迂曲于左侧腹，似见回盲部位于中上腹。</t>
    </r>
  </si>
  <si>
    <t>中肠旋转不良合并肠扭转。</t>
  </si>
  <si>
    <t>2022-10-05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</si>
  <si>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1</t>
    </r>
    <r>
      <rPr>
        <sz val="9"/>
        <rFont val="Noto Sans CJK SC"/>
        <charset val="134"/>
      </rPr>
      <t>、</t>
    </r>
    <r>
      <rPr>
        <sz val="9"/>
        <rFont val="Arial"/>
        <charset val="1"/>
      </rPr>
      <t>5</t>
    </r>
    <r>
      <rPr>
        <sz val="9"/>
        <rFont val="Noto Sans CJK SC"/>
        <charset val="134"/>
      </rPr>
      <t>小时后复查，对比剂已达直肠，见结肠圈变形，回盲部位于中上腹。胃内对比剂潴留。</t>
    </r>
  </si>
  <si>
    <r>
      <rPr>
        <sz val="9"/>
        <rFont val="Noto Sans CJK SC"/>
        <charset val="134"/>
      </rPr>
      <t>中上腹部可见一截面积约</t>
    </r>
    <r>
      <rPr>
        <sz val="9"/>
        <rFont val="Arial"/>
        <charset val="1"/>
      </rPr>
      <t>2.4cm×1.9cm</t>
    </r>
    <r>
      <rPr>
        <sz val="9"/>
        <rFont val="Noto Sans CJK SC"/>
        <charset val="134"/>
      </rPr>
      <t xml:space="preserve">的光团回声，边界尚清晰，内部回声呈强弱相间的漩涡状回声，内见扩张的血管环绕。
</t>
    </r>
    <r>
      <rPr>
        <sz val="9"/>
        <rFont val="Arial"/>
        <charset val="1"/>
      </rPr>
      <t>CDFI</t>
    </r>
    <r>
      <rPr>
        <sz val="9"/>
        <rFont val="Noto Sans CJK SC"/>
        <charset val="134"/>
      </rPr>
      <t>：上述类“靶环征”上似可见漩涡状血流信号。</t>
    </r>
  </si>
  <si>
    <t>中上腹部异常光团回声：符合肠旋转不良声像图改变。</t>
  </si>
  <si>
    <t>2022-10-25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</si>
  <si>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胃：稍扩张，壁光整，幽门开放正常</t>
    </r>
    <r>
      <rPr>
        <sz val="9"/>
        <rFont val="Arial"/>
        <charset val="1"/>
      </rPr>
      <t xml:space="preserve">;
</t>
    </r>
    <r>
      <rPr>
        <sz val="9"/>
        <rFont val="Noto Sans CJK SC"/>
        <charset val="134"/>
      </rPr>
      <t xml:space="preserve">小肠：十二指肠空肠曲变形，可见“弹簧征”，球后段稍扩张，对比剂通过显示欠通畅，上组空肠位于中下腹。余各组小肠显示通畅，未见梗阻及扩张。
</t>
    </r>
    <r>
      <rPr>
        <sz val="9"/>
        <rFont val="Arial"/>
        <charset val="1"/>
      </rPr>
      <t>2</t>
    </r>
    <r>
      <rPr>
        <sz val="9"/>
        <rFont val="Noto Sans CJK SC"/>
        <charset val="134"/>
      </rPr>
      <t>小时后复查，对比剂已达直肠，回盲部显示欠佳，左腹部似见结肠迂曲。</t>
    </r>
  </si>
  <si>
    <t>十二指肠不全性梗阻，中肠旋转不良考虑。</t>
  </si>
  <si>
    <t>2022-11-15</t>
  </si>
  <si>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幽门彩超</t>
    </r>
  </si>
  <si>
    <r>
      <rPr>
        <sz val="9"/>
        <rFont val="Noto Sans CJK SC"/>
        <charset val="134"/>
      </rPr>
      <t>中上腹部可见一大小约</t>
    </r>
    <r>
      <rPr>
        <sz val="9"/>
        <rFont val="Arial"/>
        <charset val="1"/>
      </rPr>
      <t>2.7cm×1.9cm×2.0cm</t>
    </r>
    <r>
      <rPr>
        <sz val="9"/>
        <rFont val="Noto Sans CJK SC"/>
        <charset val="134"/>
      </rPr>
      <t xml:space="preserve">的光团回声，边界尚清晰，内部回声呈强弱相间的漩涡状回声，内见扩张的血管环绕，探查时移动探头可见扭转两周。
胃内可见少量滞留物，幽门区未见明显局限性肿块图像。
</t>
    </r>
    <r>
      <rPr>
        <sz val="9"/>
        <rFont val="Arial"/>
        <charset val="1"/>
      </rPr>
      <t>CDFI</t>
    </r>
    <r>
      <rPr>
        <sz val="9"/>
        <rFont val="Noto Sans CJK SC"/>
        <charset val="134"/>
      </rPr>
      <t>：上述光团内见漩涡环绕的动静脉血流信号。</t>
    </r>
  </si>
  <si>
    <t>中上腹部异常光团回声（肠旋转不良可能）
幽门未见明显异常。</t>
  </si>
  <si>
    <r>
      <rPr>
        <sz val="9"/>
        <rFont val="Noto Sans CJK SC"/>
        <charset val="134"/>
      </rPr>
      <t>片</t>
    </r>
    <r>
      <rPr>
        <sz val="9"/>
        <rFont val="Arial"/>
        <charset val="1"/>
      </rPr>
      <t xml:space="preserve">1-6  </t>
    </r>
    <r>
      <rPr>
        <sz val="9"/>
        <rFont val="Noto Sans CJK SC"/>
        <charset val="134"/>
      </rPr>
      <t>消化道碘水造影：
  食管：边缘光滑，对比剂通过顺利，可见胃食管反流征象；
  胃：胃体稍扩张，位置正常，壁光整，幽门开放正常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改变，对比剂通过显示不畅，上组空肠位于中下腹。余各组小肠显示通畅，未见梗阻及扩张。
  约</t>
    </r>
    <r>
      <rPr>
        <sz val="9"/>
        <rFont val="Arial"/>
        <charset val="1"/>
      </rPr>
      <t>5</t>
    </r>
    <r>
      <rPr>
        <sz val="9"/>
        <rFont val="Noto Sans CJK SC"/>
        <charset val="134"/>
      </rPr>
      <t>小时后复查，对比剂已达直肠，似见回盲部位于中上腹。</t>
    </r>
  </si>
  <si>
    <t>中肠旋转不良并十二指肠扭转及不全性梗阻。</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</si>
  <si>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脾脏及双肾位置、大小、形态及密度未见明显异常改变。胰腺未见明显异常。肠系膜纠集，密度减低，中腹部可见“漩涡征”</t>
    </r>
    <r>
      <rPr>
        <sz val="9"/>
        <rFont val="Arial"/>
        <charset val="1"/>
      </rPr>
      <t>,</t>
    </r>
    <r>
      <rPr>
        <sz val="9"/>
        <rFont val="Noto Sans CJK SC"/>
        <charset val="134"/>
      </rPr>
      <t>十二指肠似呈“螺旋状”改变。胃、肠管、双侧肾盂及膀胱内高密度影。腹腔内未见明显积液。腹膜后未见明显占位征象。</t>
    </r>
  </si>
  <si>
    <r>
      <rPr>
        <sz val="9"/>
        <rFont val="Arial"/>
        <charset val="1"/>
      </rPr>
      <t>1</t>
    </r>
    <r>
      <rPr>
        <sz val="9"/>
        <rFont val="Noto Sans CJK SC"/>
        <charset val="134"/>
      </rPr>
      <t xml:space="preserve">、中肠旋转不良并十二指肠扭转多考虑；
</t>
    </r>
    <r>
      <rPr>
        <sz val="9"/>
        <rFont val="Arial"/>
        <charset val="1"/>
      </rPr>
      <t>2</t>
    </r>
    <r>
      <rPr>
        <sz val="9"/>
        <rFont val="Noto Sans CJK SC"/>
        <charset val="134"/>
      </rPr>
      <t>、胃、肠管、双侧肾盂及膀胱内高密度影，造影剂残留多考虑。</t>
    </r>
  </si>
  <si>
    <t>2024-03-01</t>
  </si>
  <si>
    <r>
      <rPr>
        <sz val="9"/>
        <rFont val="Noto Sans CJK SC"/>
        <charset val="134"/>
      </rPr>
      <t>腹盆</t>
    </r>
    <r>
      <rPr>
        <sz val="9"/>
        <rFont val="Arial"/>
        <charset val="1"/>
      </rPr>
      <t>CT</t>
    </r>
    <r>
      <rPr>
        <sz val="9"/>
        <rFont val="Noto Sans CJK SC"/>
        <charset val="134"/>
      </rPr>
      <t>平扫（含三维重建）</t>
    </r>
  </si>
  <si>
    <r>
      <rPr>
        <sz val="9"/>
        <rFont val="Noto Sans CJK SC"/>
        <charset val="134"/>
      </rPr>
      <t>腹盆</t>
    </r>
    <r>
      <rPr>
        <sz val="9"/>
        <rFont val="Arial"/>
        <charset val="1"/>
      </rPr>
      <t>CT</t>
    </r>
    <r>
      <rPr>
        <sz val="9"/>
        <rFont val="Noto Sans CJK SC"/>
        <charset val="134"/>
      </rPr>
      <t>平扫（含三维重建及体层成像）
  胃腔明显扩张、积液积气，幽门、十二指肠上移、跨越贲门，幽门及贲门受压变细，胃、肝左叶间见团片影，周围脂肪间隙模糊，可见渗出影。脾脏显示不清。肝脏形状体积正常，其内密度较均匀，未见明显肿块影；肝内胆管未见明显扩张征象。胆囊受压。双肾位置、大小、形态及密度未见明显异常改变。盆腔内见液体密度影。腹膜后未见明显占位征象。</t>
    </r>
  </si>
  <si>
    <r>
      <rPr>
        <sz val="9"/>
        <rFont val="Arial"/>
        <charset val="1"/>
      </rPr>
      <t>1.</t>
    </r>
    <r>
      <rPr>
        <sz val="9"/>
        <rFont val="Noto Sans CJK SC"/>
        <charset val="134"/>
      </rPr>
      <t xml:space="preserve">胃扭转；
</t>
    </r>
    <r>
      <rPr>
        <sz val="9"/>
        <rFont val="Arial"/>
        <charset val="1"/>
      </rPr>
      <t>2.</t>
    </r>
    <r>
      <rPr>
        <sz val="9"/>
        <rFont val="Noto Sans CJK SC"/>
        <charset val="134"/>
      </rPr>
      <t xml:space="preserve">胃及肝左叶间团片灶，胰腺炎多考虑；
</t>
    </r>
    <r>
      <rPr>
        <sz val="9"/>
        <rFont val="Arial"/>
        <charset val="1"/>
      </rPr>
      <t>3.</t>
    </r>
    <r>
      <rPr>
        <sz val="9"/>
        <rFont val="Noto Sans CJK SC"/>
        <charset val="134"/>
      </rPr>
      <t>盆腔积液。
建议进一步增强检查。</t>
    </r>
  </si>
  <si>
    <r>
      <rPr>
        <sz val="9"/>
        <rFont val="Noto Sans CJK SC"/>
        <charset val="134"/>
      </rPr>
      <t>夜间急诊超声所见：
胃扩张明显，其内可见大量的滞留物，剑突下横切动态扫查时贲门与幽门呈十字交叉征；下腹肠间可见前后径约</t>
    </r>
    <r>
      <rPr>
        <sz val="9"/>
        <rFont val="Arial"/>
        <charset val="1"/>
      </rPr>
      <t>1.3cm</t>
    </r>
    <r>
      <rPr>
        <sz val="9"/>
        <rFont val="Noto Sans CJK SC"/>
        <charset val="134"/>
      </rPr>
      <t xml:space="preserve">的液性暗区；左上腹未探及明显脾脏组织回声，余腹可见较多的气体强反射回声。
</t>
    </r>
    <r>
      <rPr>
        <sz val="9"/>
        <rFont val="Arial"/>
        <charset val="1"/>
      </rPr>
      <t>CDFI:</t>
    </r>
    <r>
      <rPr>
        <sz val="9"/>
        <rFont val="Noto Sans CJK SC"/>
        <charset val="134"/>
      </rPr>
      <t>患儿不配合，上述部位血流信号较杂乱。</t>
    </r>
  </si>
  <si>
    <t>胃潴留，胃扭转多考虑，请结合临床必要时进一步检查。
腹腔少许积液。
左上腹未探及明显脾脏组织回声，建议复查。</t>
  </si>
  <si>
    <r>
      <rPr>
        <sz val="9"/>
        <rFont val="Noto Sans CJK SC"/>
        <charset val="134"/>
      </rPr>
      <t>夜间急诊超声所见：
胃内可见置管回声，其内可见较多的胃内容物，张力较前减低，剑突下横切时贲门与幽门在同一水平面上，动态扫查时贲门与幽门呈十字交叉征；下腹肠间可见前后径约</t>
    </r>
    <r>
      <rPr>
        <sz val="9"/>
        <rFont val="Arial"/>
        <charset val="1"/>
      </rPr>
      <t>1.7cm</t>
    </r>
    <r>
      <rPr>
        <sz val="9"/>
        <rFont val="Noto Sans CJK SC"/>
        <charset val="134"/>
      </rPr>
      <t xml:space="preserve">的液性暗区；左上腹未探及明显脾脏组织回声；余腹可见较多的气体强反射回声。
</t>
    </r>
    <r>
      <rPr>
        <sz val="9"/>
        <rFont val="Arial"/>
        <charset val="1"/>
      </rPr>
      <t>CDFI:</t>
    </r>
    <r>
      <rPr>
        <sz val="9"/>
        <rFont val="Noto Sans CJK SC"/>
        <charset val="134"/>
      </rPr>
      <t>上述部位未见明显异常血流信号。</t>
    </r>
  </si>
  <si>
    <t>胃内可见置管回声，胃内容物较多。
胃扭转多考虑。
腹腔少许积液。
左上腹未探及明显脾脏组织回声。
建议必要时复查。</t>
  </si>
  <si>
    <r>
      <rPr>
        <sz val="9"/>
        <rFont val="Noto Sans CJK SC"/>
        <charset val="134"/>
      </rPr>
      <t>夜间急诊超声所见：
胃内可见置管回声，胃腔充盈，其内可见较多的胃内容物，剑突下横切时贲门与幽门在同一水平面上，幽门指向左下背侧；目前肠管未见扩张，下腹肠间可见前后径约</t>
    </r>
    <r>
      <rPr>
        <sz val="9"/>
        <rFont val="Arial"/>
        <charset val="1"/>
      </rPr>
      <t>1.7cm</t>
    </r>
    <r>
      <rPr>
        <sz val="9"/>
        <rFont val="Noto Sans CJK SC"/>
        <charset val="134"/>
      </rPr>
      <t xml:space="preserve">的液性暗区，未见明显局限性异常包块回声。
</t>
    </r>
    <r>
      <rPr>
        <sz val="9"/>
        <rFont val="Arial"/>
        <charset val="1"/>
      </rPr>
      <t>CDFI:</t>
    </r>
    <r>
      <rPr>
        <sz val="9"/>
        <rFont val="Noto Sans CJK SC"/>
        <charset val="134"/>
      </rPr>
      <t>上述部位未见明显异常血流信号。</t>
    </r>
  </si>
  <si>
    <t>胃内可见置管回声，胃腔充盈，胃内容物较多。
胃扭转多考虑。
腹腔少许积液。</t>
  </si>
  <si>
    <r>
      <rPr>
        <sz val="9"/>
        <rFont val="Noto Sans CJK SC"/>
        <charset val="134"/>
      </rPr>
      <t>腹盆</t>
    </r>
    <r>
      <rPr>
        <sz val="9"/>
        <rFont val="Arial"/>
        <charset val="1"/>
      </rPr>
      <t>CT</t>
    </r>
    <r>
      <rPr>
        <sz val="9"/>
        <rFont val="Noto Sans CJK SC"/>
        <charset val="134"/>
      </rPr>
      <t>增强扫描</t>
    </r>
    <r>
      <rPr>
        <sz val="9"/>
        <rFont val="Arial"/>
        <charset val="1"/>
      </rPr>
      <t>+</t>
    </r>
    <r>
      <rPr>
        <sz val="9"/>
        <rFont val="Noto Sans CJK SC"/>
        <charset val="134"/>
      </rPr>
      <t>体层成像</t>
    </r>
    <r>
      <rPr>
        <sz val="9"/>
        <rFont val="Arial"/>
        <charset val="1"/>
      </rPr>
      <t>+</t>
    </r>
    <r>
      <rPr>
        <sz val="9"/>
        <rFont val="Noto Sans CJK SC"/>
        <charset val="134"/>
      </rPr>
      <t>三维重建
食道下段扩张，胃内可见引流管影，胃稍扩张，胃窦部胃壁稍厚，胃幽门位置异常，与贲门同平面，胰头位置正常，胰腺体尾位于肝胃之间，胰腺体尾部增粗肿胀，内部密度不均匀，周围脂肪间隙模糊，体尾部见斑片状稍低密度影，增强扫描示胰腺明显不均匀强化，体尾部见低密度未强化影。脾脏未见明确显示。肝及双肾等实质器官未见明显异常强化，肝脏大小形态正常。腹腔干发出肝总动脉及胃左动脉，腹主动脉向下走行于脊柱前稍偏右侧，下腔静脉位置正常，大部分小肠位于腹腔右侧。盆腔内见片状低密度影。</t>
    </r>
  </si>
  <si>
    <r>
      <rPr>
        <sz val="9"/>
        <rFont val="Arial"/>
        <charset val="1"/>
      </rPr>
      <t>1</t>
    </r>
    <r>
      <rPr>
        <sz val="9"/>
        <rFont val="Noto Sans CJK SC"/>
        <charset val="134"/>
      </rPr>
      <t>、胃、胰腺位置异常，大部分小肠位于腹腔右侧，脾脏缺如，无脾综合征？建议进一步行心脏大血管</t>
    </r>
    <r>
      <rPr>
        <sz val="9"/>
        <rFont val="Arial"/>
        <charset val="1"/>
      </rPr>
      <t>CTA</t>
    </r>
    <r>
      <rPr>
        <sz val="9"/>
        <rFont val="Noto Sans CJK SC"/>
        <charset val="134"/>
      </rPr>
      <t xml:space="preserve">检查除外心脏大血管发育异常；
</t>
    </r>
    <r>
      <rPr>
        <sz val="9"/>
        <rFont val="Arial"/>
        <charset val="1"/>
      </rPr>
      <t>2</t>
    </r>
    <r>
      <rPr>
        <sz val="9"/>
        <rFont val="Noto Sans CJK SC"/>
        <charset val="134"/>
      </rPr>
      <t xml:space="preserve">、急性坏死性胰腺炎；
</t>
    </r>
    <r>
      <rPr>
        <sz val="9"/>
        <rFont val="Arial"/>
        <charset val="1"/>
      </rPr>
      <t>3</t>
    </r>
    <r>
      <rPr>
        <sz val="9"/>
        <rFont val="Noto Sans CJK SC"/>
        <charset val="134"/>
      </rPr>
      <t xml:space="preserve">、食管下段、胃稍扩张，胃窦部胃壁稍厚，胃扩张情况较前片改善；
</t>
    </r>
    <r>
      <rPr>
        <sz val="9"/>
        <rFont val="Arial"/>
        <charset val="1"/>
      </rPr>
      <t>4</t>
    </r>
    <r>
      <rPr>
        <sz val="9"/>
        <rFont val="Noto Sans CJK SC"/>
        <charset val="134"/>
      </rPr>
      <t>、盆腔积液。</t>
    </r>
  </si>
  <si>
    <t>2023-04-05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</si>
  <si>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胃：胃体扩张，蠕动亢进，幽门管处于开放状态</t>
    </r>
    <r>
      <rPr>
        <sz val="9"/>
        <rFont val="Arial"/>
        <charset val="1"/>
      </rPr>
      <t>;</t>
    </r>
    <r>
      <rPr>
        <sz val="9"/>
        <rFont val="Noto Sans CJK SC"/>
        <charset val="134"/>
      </rPr>
      <t xml:space="preserve">可见胃食管返流。
小肠：十二指肠球部及降段显示扩张，对比剂通过水平段受限，十二指肠空肠曲变形，空肠位于中下腹。余各组小肠显示通畅，未见梗阻及扩张。
</t>
    </r>
    <r>
      <rPr>
        <sz val="9"/>
        <rFont val="Arial"/>
        <charset val="1"/>
      </rPr>
      <t>5.5</t>
    </r>
    <r>
      <rPr>
        <sz val="9"/>
        <rFont val="Noto Sans CJK SC"/>
        <charset val="134"/>
      </rPr>
      <t>小时后复查，对比剂已达结肠及直肠，似见回盲部位于右中腹。胃及十二指肠近段仍显示扩张，可见对比剂潴留。</t>
    </r>
  </si>
  <si>
    <t>中肠旋转不良并肠扭转考虑。</t>
  </si>
  <si>
    <t>2023-10-09</t>
  </si>
  <si>
    <r>
      <rPr>
        <sz val="9"/>
        <rFont val="Noto Sans CJK SC"/>
        <charset val="134"/>
      </rPr>
      <t>腹盆</t>
    </r>
    <r>
      <rPr>
        <sz val="9"/>
        <rFont val="Arial"/>
        <charset val="1"/>
      </rPr>
      <t>CT</t>
    </r>
    <r>
      <rPr>
        <sz val="9"/>
        <rFont val="Noto Sans CJK SC"/>
        <charset val="134"/>
      </rPr>
      <t>平扫（含体层成像及三维重建）
    肝脏形状体积正常，其内密度较均匀，未见明显肿块影；肝内胆管未见明显扩张征象。胆囊可见显示。脾脏及双肾位置、大小、形态及密度未见明显异常改变。胰腺未见明显异常。左中腹肠系膜上动脉可见漩涡样改变，其远端左侧肠系膜间见大片状低密度影，</t>
    </r>
    <r>
      <rPr>
        <sz val="9"/>
        <rFont val="Arial"/>
        <charset val="1"/>
      </rPr>
      <t>CT</t>
    </r>
    <r>
      <rPr>
        <sz val="9"/>
        <rFont val="Noto Sans CJK SC"/>
        <charset val="134"/>
      </rPr>
      <t>值约</t>
    </r>
    <r>
      <rPr>
        <sz val="9"/>
        <rFont val="Arial"/>
        <charset val="1"/>
      </rPr>
      <t>-3Hu</t>
    </r>
    <r>
      <rPr>
        <sz val="9"/>
        <rFont val="Noto Sans CJK SC"/>
        <charset val="134"/>
      </rPr>
      <t>。腹腔内部分肠管扩张积气。右下腹阑尾可见，管径约</t>
    </r>
    <r>
      <rPr>
        <sz val="9"/>
        <rFont val="Arial"/>
        <charset val="1"/>
      </rPr>
      <t>5.1mm</t>
    </r>
    <r>
      <rPr>
        <sz val="9"/>
        <rFont val="Noto Sans CJK SC"/>
        <charset val="134"/>
      </rPr>
      <t>。乙状结肠位于右侧盆腔内。膀胱充盈尚可，壁不厚。盆腔内见小片状低密度积液。腹膜后未见明显占位征象。</t>
    </r>
  </si>
  <si>
    <t>腹腔内异常改变，肠旋转不良伴肠扭转、肠系膜水肿可能，建议进一步检查；
盆腔少量积液。</t>
  </si>
  <si>
    <t>2023-10-17</t>
  </si>
  <si>
    <r>
      <rPr>
        <sz val="9"/>
        <rFont val="Noto Sans CJK SC"/>
        <charset val="134"/>
      </rPr>
      <t>腹盆</t>
    </r>
    <r>
      <rPr>
        <sz val="9"/>
        <rFont val="Arial"/>
        <charset val="1"/>
      </rPr>
      <t>CT</t>
    </r>
    <r>
      <rPr>
        <sz val="9"/>
        <rFont val="Noto Sans CJK SC"/>
        <charset val="134"/>
      </rPr>
      <t>平扫（含体层成像及三维重建）
    腹腔内见大量游离积气影及积液影，肝脏稍受压移位，肝脏形状体积正常，其内密度较均匀，未见明显肿块影；肝内胆管未见明显扩张征象。胃腔内见少量积气，其内另可见导管影及片状高密度影。胆囊可见显示。脾脏及双肾位置、大小、形态及密度未见明显异常改变。胰腺未见明显异常。腹腔内肠管充气少。膀胱充盈尚可，壁稍厚。腹膜后未见明显占位征象。下腹壁水肿增厚，双侧鞘膜积液。扫描所及双肺下叶见斑片状密度增高影，左侧胸腔内见少量积气影，左下肺局部稍压缩。</t>
    </r>
  </si>
  <si>
    <r>
      <rPr>
        <sz val="9"/>
        <rFont val="Noto Sans CJK SC"/>
        <charset val="134"/>
      </rPr>
      <t>腹腔积气，空腔脏器穿孔首先考虑；
腹腔积液；
下腹壁水肿；
双侧鞘膜积液；
扫描所及双肺下叶肺炎，左侧气胸（少量，约</t>
    </r>
    <r>
      <rPr>
        <sz val="9"/>
        <rFont val="Arial"/>
        <charset val="1"/>
      </rPr>
      <t>5%</t>
    </r>
    <r>
      <rPr>
        <sz val="9"/>
        <rFont val="Noto Sans CJK SC"/>
        <charset val="134"/>
      </rPr>
      <t>）。</t>
    </r>
  </si>
  <si>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小肠：十二指肠圈形态正常，</t>
    </r>
    <r>
      <rPr>
        <sz val="9"/>
        <rFont val="Arial"/>
        <charset val="1"/>
      </rPr>
      <t>2-3</t>
    </r>
    <r>
      <rPr>
        <sz val="9"/>
        <rFont val="Noto Sans CJK SC"/>
        <charset val="134"/>
      </rPr>
      <t>组小肠显示扩张，第</t>
    </r>
    <r>
      <rPr>
        <sz val="9"/>
        <rFont val="Arial"/>
        <charset val="1"/>
      </rPr>
      <t>4</t>
    </r>
    <r>
      <rPr>
        <sz val="9"/>
        <rFont val="Noto Sans CJK SC"/>
        <charset val="134"/>
      </rPr>
      <t>组小肠扩张明显，</t>
    </r>
    <r>
      <rPr>
        <sz val="9"/>
        <rFont val="Arial"/>
        <charset val="1"/>
      </rPr>
      <t>5-6</t>
    </r>
    <r>
      <rPr>
        <sz val="9"/>
        <rFont val="Noto Sans CJK SC"/>
        <charset val="134"/>
      </rPr>
      <t xml:space="preserve">组小肠及结肠未见显影。
</t>
    </r>
    <r>
      <rPr>
        <sz val="9"/>
        <rFont val="Arial"/>
        <charset val="1"/>
      </rPr>
      <t>2</t>
    </r>
    <r>
      <rPr>
        <sz val="9"/>
        <rFont val="Noto Sans CJK SC"/>
        <charset val="134"/>
      </rPr>
      <t>小时后复查，对比剂到达空回肠交界处，远端回肠及直肠仍未显影。</t>
    </r>
  </si>
  <si>
    <t>回肠起始段梗阻，请结合临床。</t>
  </si>
  <si>
    <t>2024-03-24</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</si>
  <si>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脾脏及双肾位置、大小、形态及密度未见明显异常改变。胰腺未见明显异常。中腹部局部肠管肠气减少，密度稍增加，呈“同心圆”样表现，肠间隙模糊。远端肠管内可见肠气及内容物影。腹腔内未见明显积液。腹膜后未见明显占位征象。
扫描所及双肺见斑片状密度增高影。右侧阴囊内可见弧形低密度影。</t>
    </r>
  </si>
  <si>
    <t>中肠旋转不良并肠扭转可能，必要时进一步增强检查。
右侧鞘膜积液。
扫描所及双肺肺炎。</t>
  </si>
  <si>
    <t>2024-04-03</t>
  </si>
  <si>
    <t>2024-08-18</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</si>
  <si>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脾脏及双肾位置、大小、形态及密度未见明显异常改变。胰腺未见明显异常。腹腔内肠管稍扩张积液积气，肠间隙模糊，未见明显气液平面。前腹壁下见类圆形气体影，与肠管关系欠清。腹膜后未见明显占位征象。</t>
    </r>
  </si>
  <si>
    <t>肠管扩张积液积气；
肠间隙模糊，腹腔积液多考虑；
前腹壁下见类圆形气体影，与肠管关系欠清，建议随诊，必要时进一步检查除外空腔脏器穿孔。</t>
  </si>
  <si>
    <r>
      <rPr>
        <sz val="9"/>
        <rFont val="Noto Sans CJK SC"/>
        <charset val="134"/>
      </rPr>
      <t>肝、脾彩超</t>
    </r>
    <r>
      <rPr>
        <sz val="9"/>
        <rFont val="Arial"/>
        <charset val="1"/>
      </rPr>
      <t>,</t>
    </r>
    <r>
      <rPr>
        <sz val="9"/>
        <rFont val="Noto Sans CJK SC"/>
        <charset val="134"/>
      </rPr>
      <t>胃肠道彩超</t>
    </r>
    <r>
      <rPr>
        <sz val="9"/>
        <rFont val="Arial"/>
        <charset val="1"/>
      </rPr>
      <t>,</t>
    </r>
    <r>
      <rPr>
        <sz val="9"/>
        <rFont val="Noto Sans CJK SC"/>
        <charset val="134"/>
      </rPr>
      <t>双肾及肾血管彩超</t>
    </r>
  </si>
  <si>
    <r>
      <rPr>
        <sz val="9"/>
        <rFont val="Noto Sans CJK SC"/>
        <charset val="134"/>
      </rPr>
      <t>床边彩超：
肝脏切面形态尚正常，肝内光点分布欠均匀，血管走向欠清晰，肝左、中、右静脉稍宽，门静脉内可见点状及细条状高回声穿梭运动，肝右肋下</t>
    </r>
    <r>
      <rPr>
        <sz val="9"/>
        <rFont val="Arial"/>
        <charset val="1"/>
      </rPr>
      <t>1.3cm</t>
    </r>
    <r>
      <rPr>
        <sz val="9"/>
        <rFont val="Noto Sans CJK SC"/>
        <charset val="134"/>
      </rPr>
      <t>，肝内胆管未见明显扩张。
脾脏切面形态正常，左肋下</t>
    </r>
    <r>
      <rPr>
        <sz val="9"/>
        <rFont val="Arial"/>
        <charset val="1"/>
      </rPr>
      <t>0cm</t>
    </r>
    <r>
      <rPr>
        <sz val="9"/>
        <rFont val="Noto Sans CJK SC"/>
        <charset val="134"/>
      </rPr>
      <t>，厚</t>
    </r>
    <r>
      <rPr>
        <sz val="9"/>
        <rFont val="Arial"/>
        <charset val="1"/>
      </rPr>
      <t>1.4cm</t>
    </r>
    <r>
      <rPr>
        <sz val="9"/>
        <rFont val="Noto Sans CJK SC"/>
        <charset val="134"/>
      </rPr>
      <t>。
上腹部见条状无回声区显示，边界清晰，范围约为</t>
    </r>
    <r>
      <rPr>
        <sz val="9"/>
        <rFont val="Arial"/>
        <charset val="1"/>
      </rPr>
      <t>4.3cm×1.0cm</t>
    </r>
    <r>
      <rPr>
        <sz val="9"/>
        <rFont val="Noto Sans CJK SC"/>
        <charset val="134"/>
      </rPr>
      <t>，可见双泡征回声显示，余腹肠管较萎瘪显示。
左肾：</t>
    </r>
    <r>
      <rPr>
        <sz val="9"/>
        <rFont val="Arial"/>
        <charset val="1"/>
      </rPr>
      <t>3.2cm×1.4cm</t>
    </r>
    <r>
      <rPr>
        <sz val="9"/>
        <rFont val="Noto Sans CJK SC"/>
        <charset val="134"/>
      </rPr>
      <t>（前后径）</t>
    </r>
    <r>
      <rPr>
        <sz val="9"/>
        <rFont val="Arial"/>
        <charset val="1"/>
      </rPr>
      <t xml:space="preserve">×1.8cm
</t>
    </r>
    <r>
      <rPr>
        <sz val="9"/>
        <rFont val="Noto Sans CJK SC"/>
        <charset val="134"/>
      </rPr>
      <t>右肾：</t>
    </r>
    <r>
      <rPr>
        <sz val="9"/>
        <rFont val="Arial"/>
        <charset val="1"/>
      </rPr>
      <t>3.1cm×1.3cm</t>
    </r>
    <r>
      <rPr>
        <sz val="9"/>
        <rFont val="Noto Sans CJK SC"/>
        <charset val="134"/>
      </rPr>
      <t>（前后径）</t>
    </r>
    <r>
      <rPr>
        <sz val="9"/>
        <rFont val="Arial"/>
        <charset val="1"/>
      </rPr>
      <t xml:space="preserve">×1.6cm
</t>
    </r>
    <r>
      <rPr>
        <sz val="9"/>
        <rFont val="Noto Sans CJK SC"/>
        <charset val="134"/>
      </rPr>
      <t xml:space="preserve">双肾切面形态尚正常，集合系统光点群未见明显分离，双肾实质回声增强。
</t>
    </r>
    <r>
      <rPr>
        <sz val="9"/>
        <rFont val="Arial"/>
        <charset val="1"/>
      </rPr>
      <t>CDFI:</t>
    </r>
    <r>
      <rPr>
        <sz val="9"/>
        <rFont val="Noto Sans CJK SC"/>
        <charset val="134"/>
      </rPr>
      <t>上述部位未见明显异常血流信号。</t>
    </r>
  </si>
  <si>
    <r>
      <rPr>
        <sz val="9"/>
        <rFont val="Noto Sans CJK SC"/>
        <charset val="134"/>
      </rPr>
      <t>上腹异常囊性回声区：十二指肠闭锁？请结合临床进一步检查。
肝右肋下</t>
    </r>
    <r>
      <rPr>
        <sz val="9"/>
        <rFont val="Arial"/>
        <charset val="1"/>
      </rPr>
      <t>1.3cm</t>
    </r>
    <r>
      <rPr>
        <sz val="9"/>
        <rFont val="Noto Sans CJK SC"/>
        <charset val="134"/>
      </rPr>
      <t>。
肝实质回声欠均匀、肝左、中、右静脉稍宽。
门静脉积气。
脾脏未见明显异常。
双肾实质回声增强。</t>
    </r>
  </si>
  <si>
    <t>2024-09-03</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</si>
  <si>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右肾盂稍扩张，脾脏及左肾位置、大小、形态及密度未见明显异常改变。胰腺未见明显异常。腹腔内肠管未见明显扩张，未见明显肠壁积气征象，肠间隙模糊。腹膜后未见明显占位征象。</t>
    </r>
  </si>
  <si>
    <t>右肾盂稍扩张；
肠间隙模糊；请结合临床。</t>
  </si>
  <si>
    <r>
      <rPr>
        <sz val="9"/>
        <rFont val="Noto Sans CJK SC"/>
        <charset val="134"/>
      </rPr>
      <t>夜间急诊超声所见：
动态扫查过程中，中上腹部似可见一漩涡状回声，大小约</t>
    </r>
    <r>
      <rPr>
        <sz val="9"/>
        <rFont val="Arial"/>
        <charset val="1"/>
      </rPr>
      <t>2.4cm×2.1cm</t>
    </r>
    <r>
      <rPr>
        <sz val="9"/>
        <rFont val="Noto Sans CJK SC"/>
        <charset val="134"/>
      </rPr>
      <t xml:space="preserve">，边界欠清晰，内可见血管回声，余腹未见明显局限性异常回声。
</t>
    </r>
    <r>
      <rPr>
        <sz val="9"/>
        <rFont val="Arial"/>
        <charset val="1"/>
      </rPr>
      <t>CDFI</t>
    </r>
    <r>
      <rPr>
        <sz val="9"/>
        <rFont val="Noto Sans CJK SC"/>
        <charset val="134"/>
      </rPr>
      <t>：上述异常回声内似可见漩涡状血流信号。</t>
    </r>
  </si>
  <si>
    <t>中上腹部异常光团回声（肠旋转不良可疑）。</t>
  </si>
  <si>
    <t>2024-11-10</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</si>
  <si>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管纠集，中腹部见“旋涡状”，小肠大部分位于右下腹部，部分肠壁稍厚，肠系膜肿胀，腹腔内未见明显积液。腹膜后未见明显占位征象。</t>
    </r>
  </si>
  <si>
    <r>
      <rPr>
        <sz val="9"/>
        <rFont val="Noto Sans CJK SC"/>
        <charset val="134"/>
      </rPr>
      <t>上述异常改变，肠扭转多考虑；请结合临床进一步</t>
    </r>
    <r>
      <rPr>
        <sz val="9"/>
        <rFont val="Arial"/>
        <charset val="1"/>
      </rPr>
      <t>CT</t>
    </r>
    <r>
      <rPr>
        <sz val="9"/>
        <rFont val="Noto Sans CJK SC"/>
        <charset val="134"/>
      </rPr>
      <t>增强检查。</t>
    </r>
  </si>
  <si>
    <t>2024-11-29</t>
  </si>
  <si>
    <r>
      <rPr>
        <sz val="9"/>
        <rFont val="Noto Sans CJK SC"/>
        <charset val="134"/>
      </rPr>
      <t>腹盆</t>
    </r>
    <r>
      <rPr>
        <sz val="9"/>
        <rFont val="Arial"/>
        <charset val="1"/>
      </rPr>
      <t>CT</t>
    </r>
    <r>
      <rPr>
        <sz val="9"/>
        <rFont val="Noto Sans CJK SC"/>
        <charset val="134"/>
      </rPr>
      <t>平扫（含三维重建及体层成像）
肝脏形状体积正常，其内密度较均匀，未见明显肿块影；肝内胆管未见明显扩张征象。胆囊可见显示。脾脏及双肾位置、大小、形态及密度未见明显异常改变。胰腺未见明显异常。十二指肠圈形态及回盲部显示欠佳，直</t>
    </r>
    <r>
      <rPr>
        <sz val="9"/>
        <rFont val="Arial"/>
        <charset val="1"/>
      </rPr>
      <t>-</t>
    </r>
    <r>
      <rPr>
        <sz val="9"/>
        <rFont val="Noto Sans CJK SC"/>
        <charset val="134"/>
      </rPr>
      <t>乙状结肠稍细，部分肠管稍显扩张，左下腹肠壁可疑积气，腹盆腔内见液体密度影。腹膜后未见明显占位征象。</t>
    </r>
  </si>
  <si>
    <r>
      <rPr>
        <sz val="9"/>
        <rFont val="Noto Sans CJK SC"/>
        <charset val="134"/>
      </rPr>
      <t>腹盆腔积液；
十二指肠圈形态及回盲部显示欠佳，建议进一步检查除外肠旋转不良；
直</t>
    </r>
    <r>
      <rPr>
        <sz val="9"/>
        <rFont val="Arial"/>
        <charset val="1"/>
      </rPr>
      <t>-</t>
    </r>
    <r>
      <rPr>
        <sz val="9"/>
        <rFont val="Noto Sans CJK SC"/>
        <charset val="134"/>
      </rPr>
      <t>乙状结肠稍细，部分肠管稍显扩张；左下腹肠壁可疑积气；
请结合临床。</t>
    </r>
  </si>
  <si>
    <t>2025-01-26</t>
  </si>
  <si>
    <r>
      <rPr>
        <sz val="9"/>
        <rFont val="Noto Sans CJK SC"/>
        <charset val="134"/>
      </rPr>
      <t>腹盆</t>
    </r>
    <r>
      <rPr>
        <sz val="9"/>
        <rFont val="Arial"/>
        <charset val="1"/>
      </rPr>
      <t>CT</t>
    </r>
    <r>
      <rPr>
        <sz val="9"/>
        <rFont val="Noto Sans CJK SC"/>
        <charset val="134"/>
      </rPr>
      <t>平扫</t>
    </r>
    <r>
      <rPr>
        <sz val="9"/>
        <rFont val="Arial"/>
        <charset val="1"/>
      </rPr>
      <t>+</t>
    </r>
    <r>
      <rPr>
        <sz val="9"/>
        <rFont val="Noto Sans CJK SC"/>
        <charset val="134"/>
      </rPr>
      <t>增强（含体层成像及三维重建）
肝脏形状体积正常，其内密度较均匀，未见明显肿块影；肝内胆管未见明显扩张征象。胆囊可见显示。可见副脾影，脾脏及双肾位置、大小、形态及密度未见明显异常改变。胰腺未见明显异常。腹腔内肠管分布紊乱，阑尾似位于中腹部。小肠可见明显积气扩张，可见多个液平面，盆腔区部分小肠肠壁明显增厚、肿胀，肠壁较厚处约</t>
    </r>
    <r>
      <rPr>
        <sz val="9"/>
        <rFont val="Arial"/>
        <charset val="1"/>
      </rPr>
      <t>7mm</t>
    </r>
    <r>
      <rPr>
        <sz val="9"/>
        <rFont val="Noto Sans CJK SC"/>
        <charset val="134"/>
      </rPr>
      <t>，周围肠间隙模糊。直肠及乙状结肠扩张积气，余结肠未见充气影像，显示欠清。肝周、脾周、肠间隙及盆腔区可见液性低密度影。腹膜后未见明显占位征象。
增强扫描示动脉期肝脏强化不均，肝右叶包膜下见结节状强化影，静脉期及延迟期强化程度与正常肝脏一致。脾脏及双肾强化均匀。中腹部系膜血管分布紊乱，局部旋转。增厚小肠肠壁黏膜可见线样强化。</t>
    </r>
  </si>
  <si>
    <t>不全性小肠梗阻，局部小肠走行僵直，肠旋转不良伴中肠扭转可能；
小肠肠壁增厚肿胀，肠间隙模糊。
肝脏灌注不均，肝右叶包膜下可疑血管瘤。
腹盆腔积液。
副脾。</t>
  </si>
  <si>
    <t>2025-03-06</t>
  </si>
  <si>
    <r>
      <rPr>
        <sz val="9"/>
        <rFont val="Noto Sans CJK SC"/>
        <charset val="134"/>
      </rPr>
      <t>腹盆</t>
    </r>
    <r>
      <rPr>
        <sz val="9"/>
        <rFont val="Arial"/>
        <charset val="1"/>
      </rPr>
      <t>CT</t>
    </r>
    <r>
      <rPr>
        <sz val="9"/>
        <rFont val="Noto Sans CJK SC"/>
        <charset val="134"/>
      </rPr>
      <t>平扫（含三维重建）
肝脏形状体积正常，其内密度较均匀，未见明显肿块影；肝内胆管未见明显扩张征象。胆囊可见显示。脾脏及双肾位置、大小、形态及密度未见明显异常改变。胰腺未见明显异常。胃及十二指肠扩张、积气，小肠及回盲部结构显示欠清，肠系膜根部似见“旋涡”征，乙状结肠位于左下腹，结肠内见较多粪气影，腹盆腔内未见明显积液。膀胱充盈欠佳。腹膜后未见明显占位征象。</t>
    </r>
  </si>
  <si>
    <t>上述征象考虑先天性肠旋转不良可疑，建议进一步增强检查。</t>
  </si>
  <si>
    <r>
      <rPr>
        <sz val="9"/>
        <rFont val="Noto Sans CJK SC"/>
        <charset val="134"/>
      </rPr>
      <t>夜间急诊超声所见：
腹腔内可见较多气体强反射回声，以中上腹为甚，部分腹膜后结构被遮盖，中腹部可见一大小约</t>
    </r>
    <r>
      <rPr>
        <sz val="9"/>
        <rFont val="Arial"/>
        <charset val="1"/>
      </rPr>
      <t>2.1cm×1.6cm</t>
    </r>
    <r>
      <rPr>
        <sz val="9"/>
        <rFont val="Noto Sans CJK SC"/>
        <charset val="134"/>
      </rPr>
      <t xml:space="preserve">的光团回声，边界尚清晰，内部回声呈强弱相间的漩涡状回声，内见血管环绕，余腹未见明显急腹症征象。
</t>
    </r>
    <r>
      <rPr>
        <sz val="9"/>
        <rFont val="Arial"/>
        <charset val="1"/>
      </rPr>
      <t>CDFI</t>
    </r>
    <r>
      <rPr>
        <sz val="9"/>
        <rFont val="Noto Sans CJK SC"/>
        <charset val="134"/>
      </rPr>
      <t>：上述低回声区内可见血流信号。</t>
    </r>
  </si>
  <si>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2</t>
    </r>
    <r>
      <rPr>
        <sz val="9"/>
        <rFont val="Noto Sans CJK SC"/>
        <charset val="134"/>
      </rPr>
      <t>小时后复查，对比剂已达直肠，结肠圈变形，结肠分布于左腹部，回盲部位于中上腹。</t>
    </r>
  </si>
  <si>
    <t>中肠旋转不良并十二指肠不全性梗阻（中肠扭转）。</t>
  </si>
  <si>
    <t>2025-07-07</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</si>
  <si>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胃：蠕动增强，稍扩张，位置正常，壁光整，幽门开放正常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改变，对比剂通过显示不畅，上组空肠位于右中下腹。余各组小肠显示通畅，未见梗阻及扩张。
    </t>
    </r>
    <r>
      <rPr>
        <sz val="9"/>
        <rFont val="Arial"/>
        <charset val="1"/>
      </rPr>
      <t>4</t>
    </r>
    <r>
      <rPr>
        <sz val="9"/>
        <rFont val="Noto Sans CJK SC"/>
        <charset val="134"/>
      </rPr>
      <t>小时后复查，对比剂已达结肠，似见回盲部位于左上腹。</t>
    </r>
  </si>
  <si>
    <t>中肠旋转不良并肠扭转。</t>
  </si>
  <si>
    <t>2025-09-30</t>
  </si>
  <si>
    <r>
      <rPr>
        <sz val="9"/>
        <rFont val="Noto Sans CJK SC"/>
        <charset val="134"/>
      </rPr>
      <t>胃肠道彩超</t>
    </r>
    <r>
      <rPr>
        <sz val="9"/>
        <rFont val="Arial"/>
        <charset val="1"/>
      </rPr>
      <t>;</t>
    </r>
    <r>
      <rPr>
        <sz val="9"/>
        <rFont val="Noto Sans CJK SC"/>
        <charset val="134"/>
      </rPr>
      <t>肝、脾彩超</t>
    </r>
    <r>
      <rPr>
        <sz val="9"/>
        <rFont val="Arial"/>
        <charset val="1"/>
      </rPr>
      <t>;</t>
    </r>
    <r>
      <rPr>
        <sz val="9"/>
        <rFont val="Noto Sans CJK SC"/>
        <charset val="134"/>
      </rPr>
      <t>床旁彩超</t>
    </r>
    <r>
      <rPr>
        <sz val="9"/>
        <rFont val="Arial"/>
        <charset val="1"/>
      </rPr>
      <t>(</t>
    </r>
    <r>
      <rPr>
        <sz val="9"/>
        <rFont val="Noto Sans CJK SC"/>
        <charset val="134"/>
      </rPr>
      <t>免费</t>
    </r>
    <r>
      <rPr>
        <sz val="9"/>
        <rFont val="Arial"/>
        <charset val="1"/>
      </rPr>
      <t>);</t>
    </r>
    <r>
      <rPr>
        <sz val="9"/>
        <rFont val="Noto Sans CJK SC"/>
        <charset val="134"/>
      </rPr>
      <t>颅腔＋颅内段血管检查</t>
    </r>
    <r>
      <rPr>
        <sz val="9"/>
        <rFont val="Arial"/>
        <charset val="1"/>
      </rPr>
      <t>(</t>
    </r>
    <r>
      <rPr>
        <sz val="9"/>
        <rFont val="Noto Sans CJK SC"/>
        <charset val="134"/>
      </rPr>
      <t>彩超</t>
    </r>
    <r>
      <rPr>
        <sz val="9"/>
        <rFont val="Arial"/>
        <charset val="1"/>
      </rPr>
      <t>)</t>
    </r>
  </si>
  <si>
    <r>
      <rPr>
        <sz val="9"/>
        <rFont val="Noto Sans CJK SC"/>
        <charset val="134"/>
      </rPr>
      <t>韦氏腔内径约</t>
    </r>
    <r>
      <rPr>
        <sz val="9"/>
        <rFont val="Arial"/>
        <charset val="1"/>
      </rPr>
      <t>0.4-0.5cm</t>
    </r>
    <r>
      <rPr>
        <sz val="9"/>
        <rFont val="Noto Sans CJK SC"/>
        <charset val="134"/>
      </rPr>
      <t xml:space="preserve">，脑中线居中，各脑室未见明显增宽，脑实质内未见明显异常回声。
</t>
    </r>
    <r>
      <rPr>
        <sz val="9"/>
        <rFont val="Arial"/>
        <charset val="1"/>
      </rPr>
      <t>CDFI</t>
    </r>
    <r>
      <rPr>
        <sz val="9"/>
        <rFont val="Noto Sans CJK SC"/>
        <charset val="134"/>
      </rPr>
      <t>：大脑前动脉</t>
    </r>
    <r>
      <rPr>
        <sz val="9"/>
        <rFont val="Arial"/>
        <charset val="1"/>
      </rPr>
      <t>Vmax=38.78cm/s,RI=0.82</t>
    </r>
    <r>
      <rPr>
        <sz val="9"/>
        <rFont val="Noto Sans CJK SC"/>
        <charset val="134"/>
      </rPr>
      <t>；大脑前动脉</t>
    </r>
    <r>
      <rPr>
        <sz val="9"/>
        <rFont val="Arial"/>
        <charset val="1"/>
      </rPr>
      <t>Vmax=57.86cm/s,RI=0.79</t>
    </r>
    <r>
      <rPr>
        <sz val="9"/>
        <rFont val="Noto Sans CJK SC"/>
        <charset val="134"/>
      </rPr>
      <t>；
肝脏切面形态正常，肝内光点分布均匀，血管走向清晰，肝右肋下</t>
    </r>
    <r>
      <rPr>
        <sz val="9"/>
        <rFont val="Arial"/>
        <charset val="1"/>
      </rPr>
      <t>0cm</t>
    </r>
    <r>
      <rPr>
        <sz val="9"/>
        <rFont val="Noto Sans CJK SC"/>
        <charset val="134"/>
      </rPr>
      <t>，肝内胆管未见明显扩张。
脾脏切面形态正常，左肋下</t>
    </r>
    <r>
      <rPr>
        <sz val="9"/>
        <rFont val="Arial"/>
        <charset val="1"/>
      </rPr>
      <t>0cm</t>
    </r>
    <r>
      <rPr>
        <sz val="9"/>
        <rFont val="Noto Sans CJK SC"/>
        <charset val="134"/>
      </rPr>
      <t>，厚</t>
    </r>
    <r>
      <rPr>
        <sz val="9"/>
        <rFont val="Arial"/>
        <charset val="1"/>
      </rPr>
      <t>1.2cm</t>
    </r>
    <r>
      <rPr>
        <sz val="9"/>
        <rFont val="Noto Sans CJK SC"/>
        <charset val="134"/>
      </rPr>
      <t xml:space="preserve">。
</t>
    </r>
    <r>
      <rPr>
        <sz val="9"/>
        <rFont val="Arial"/>
        <charset val="1"/>
      </rPr>
      <t>CDFI:</t>
    </r>
    <r>
      <rPr>
        <sz val="9"/>
        <rFont val="Noto Sans CJK SC"/>
        <charset val="134"/>
      </rPr>
      <t>上述部位未见异常血流信号。
全腹腔内可见肠管扩张，扩张肠管稍饱满，扩张较大内径约</t>
    </r>
    <r>
      <rPr>
        <sz val="9"/>
        <rFont val="Arial"/>
        <charset val="1"/>
      </rPr>
      <t>1.6cm</t>
    </r>
    <r>
      <rPr>
        <sz val="9"/>
        <rFont val="Noto Sans CJK SC"/>
        <charset val="134"/>
      </rPr>
      <t>，肠腔内积液、充满肠内容物样光点群回声，肠蠕动缓慢，肠壁稍厚，厚约</t>
    </r>
    <r>
      <rPr>
        <sz val="9"/>
        <rFont val="Arial"/>
        <charset val="1"/>
      </rPr>
      <t>0.3cm</t>
    </r>
    <r>
      <rPr>
        <sz val="9"/>
        <rFont val="Noto Sans CJK SC"/>
        <charset val="134"/>
      </rPr>
      <t>；腹腔内可见液性暗区，较明显处深度约</t>
    </r>
    <r>
      <rPr>
        <sz val="9"/>
        <rFont val="Arial"/>
        <charset val="1"/>
      </rPr>
      <t>0.5cm</t>
    </r>
    <r>
      <rPr>
        <sz val="9"/>
        <rFont val="Noto Sans CJK SC"/>
        <charset val="134"/>
      </rPr>
      <t>（右肝包膜上方）、</t>
    </r>
    <r>
      <rPr>
        <sz val="9"/>
        <rFont val="Arial"/>
        <charset val="1"/>
      </rPr>
      <t>1.9cm</t>
    </r>
    <r>
      <rPr>
        <sz val="9"/>
        <rFont val="Noto Sans CJK SC"/>
        <charset val="134"/>
      </rPr>
      <t>（右侧腹）、</t>
    </r>
    <r>
      <rPr>
        <sz val="9"/>
        <rFont val="Arial"/>
        <charset val="1"/>
      </rPr>
      <t>1.7cm</t>
    </r>
    <r>
      <rPr>
        <sz val="9"/>
        <rFont val="Noto Sans CJK SC"/>
        <charset val="134"/>
      </rPr>
      <t xml:space="preserve">（左侧腹）；中上腹腹见较多肠气强反射回声。
</t>
    </r>
    <r>
      <rPr>
        <sz val="9"/>
        <rFont val="Arial"/>
        <charset val="1"/>
      </rPr>
      <t>CDFI:</t>
    </r>
    <r>
      <rPr>
        <sz val="9"/>
        <rFont val="Noto Sans CJK SC"/>
        <charset val="134"/>
      </rPr>
      <t>上述部位未见异常血流信号。</t>
    </r>
  </si>
  <si>
    <t>腹腔积液；肠管扩张、肠壁稍厚：请结合临床。
韦氏腔存在；大脑前、中动脉阻力指数升高。
肝脏、脾脏未见明显异常。</t>
  </si>
  <si>
    <t>2025-11-12</t>
  </si>
  <si>
    <r>
      <rPr>
        <sz val="9"/>
        <rFont val="Noto Sans CJK SC"/>
        <charset val="134"/>
      </rPr>
      <t>消化道碘水造影：
食管：边缘光滑，对比剂通过顺利；
胃：胃体扩张，蠕动亢进，幽门管处于开放状态；
十二指肠：球部及球后段扩张，对比剂通过受阻，远段肠管未见显示。
约</t>
    </r>
    <r>
      <rPr>
        <sz val="9"/>
        <rFont val="Arial"/>
        <charset val="1"/>
      </rPr>
      <t>2</t>
    </r>
    <r>
      <rPr>
        <sz val="9"/>
        <rFont val="Noto Sans CJK SC"/>
        <charset val="134"/>
      </rPr>
      <t>小时后复查，十二指肠远端、小肠未见显影。</t>
    </r>
  </si>
  <si>
    <t>十二指肠梗阻。请结合临床进一步检查。</t>
  </si>
  <si>
    <t>2026-02-05</t>
  </si>
  <si>
    <r>
      <rPr>
        <sz val="9"/>
        <rFont val="Noto Sans CJK SC"/>
        <charset val="134"/>
      </rPr>
      <t>全消化道碘水造影：
食管：边缘光滑，对比剂通过顺利</t>
    </r>
    <r>
      <rPr>
        <sz val="9"/>
        <rFont val="Arial"/>
        <charset val="1"/>
      </rPr>
      <t xml:space="preserve">;
</t>
    </r>
    <r>
      <rPr>
        <sz val="9"/>
        <rFont val="Noto Sans CJK SC"/>
        <charset val="134"/>
      </rPr>
      <t>胃：胃体扩张，蠕动较亢进，幽门管处于开放状态，可见胃食管返流征象</t>
    </r>
    <r>
      <rPr>
        <sz val="9"/>
        <rFont val="Arial"/>
        <charset val="1"/>
      </rPr>
      <t xml:space="preserve">;
</t>
    </r>
    <r>
      <rPr>
        <sz val="9"/>
        <rFont val="Noto Sans CJK SC"/>
        <charset val="134"/>
      </rPr>
      <t xml:space="preserve">十二指肠：十二指肠近段肠管扩张，远段未见对比剂通过。
</t>
    </r>
    <r>
      <rPr>
        <sz val="9"/>
        <rFont val="Arial"/>
        <charset val="1"/>
      </rPr>
      <t>2.5</t>
    </r>
    <r>
      <rPr>
        <sz val="9"/>
        <rFont val="Noto Sans CJK SC"/>
        <charset val="134"/>
      </rPr>
      <t>小时后复查，胃及十二指肠仍扩张，对比剂未进入空肠。下腹部致密，少许肠气分布。</t>
    </r>
  </si>
  <si>
    <t>十二指肠梗阻（肠旋转不良？肠扭转？），建议进一步检查。</t>
  </si>
  <si>
    <t>2026-04-22</t>
  </si>
  <si>
    <r>
      <rPr>
        <sz val="9"/>
        <rFont val="Noto Sans CJK SC"/>
        <charset val="134"/>
      </rPr>
      <t>片</t>
    </r>
    <r>
      <rPr>
        <sz val="9"/>
        <rFont val="Arial"/>
        <charset val="1"/>
      </rPr>
      <t xml:space="preserve">1-6  </t>
    </r>
    <r>
      <rPr>
        <sz val="9"/>
        <rFont val="Noto Sans CJK SC"/>
        <charset val="134"/>
      </rPr>
      <t>消化道造影
食管：边缘光滑，对比剂通过顺利</t>
    </r>
    <r>
      <rPr>
        <sz val="9"/>
        <rFont val="Arial"/>
        <charset val="1"/>
      </rPr>
      <t xml:space="preserve">;
</t>
    </r>
    <r>
      <rPr>
        <sz val="9"/>
        <rFont val="Noto Sans CJK SC"/>
        <charset val="134"/>
      </rPr>
      <t>胃：呈</t>
    </r>
    <r>
      <rPr>
        <sz val="9"/>
        <rFont val="Arial"/>
        <charset val="1"/>
      </rPr>
      <t>"</t>
    </r>
    <r>
      <rPr>
        <sz val="9"/>
        <rFont val="Noto Sans CJK SC"/>
        <charset val="134"/>
      </rPr>
      <t>钩</t>
    </r>
    <r>
      <rPr>
        <sz val="9"/>
        <rFont val="Arial"/>
        <charset val="1"/>
      </rPr>
      <t>"</t>
    </r>
    <r>
      <rPr>
        <sz val="9"/>
        <rFont val="Noto Sans CJK SC"/>
        <charset val="134"/>
      </rPr>
      <t>型，粘膜明显增粗、紊乱，涂布欠佳，可见空腹潴留液，幽门开放正常；结肠脾曲迂曲升高至左膈下，胃大弯部分受压。
十二指肠：十二指肠圈形态异常，肠管未见明显扩张征象，十二指肠空肠曲呈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改变，对比剂通过稍缓慢。
</t>
    </r>
    <r>
      <rPr>
        <sz val="9"/>
        <rFont val="Arial"/>
        <charset val="1"/>
      </rPr>
      <t>30</t>
    </r>
    <r>
      <rPr>
        <sz val="9"/>
        <rFont val="Noto Sans CJK SC"/>
        <charset val="134"/>
      </rPr>
      <t>分钟复查，</t>
    </r>
    <r>
      <rPr>
        <sz val="9"/>
        <rFont val="Arial"/>
        <charset val="1"/>
      </rPr>
      <t>2-3</t>
    </r>
    <r>
      <rPr>
        <sz val="9"/>
        <rFont val="Noto Sans CJK SC"/>
        <charset val="134"/>
      </rPr>
      <t>组小肠分布于右中下腹部，显示通畅，未见梗阻及扩张。</t>
    </r>
  </si>
  <si>
    <t>中肠旋转不良多考虑。</t>
  </si>
  <si>
    <t>2026-06-02</t>
  </si>
  <si>
    <r>
      <rPr>
        <sz val="9"/>
        <rFont val="Noto Sans CJK SC"/>
        <charset val="134"/>
      </rPr>
      <t>胃肠道彩超</t>
    </r>
    <r>
      <rPr>
        <sz val="9"/>
        <rFont val="Arial"/>
        <charset val="1"/>
      </rPr>
      <t>;</t>
    </r>
    <r>
      <rPr>
        <sz val="9"/>
        <rFont val="Noto Sans CJK SC"/>
        <charset val="134"/>
      </rPr>
      <t>肝、脾彩超</t>
    </r>
    <r>
      <rPr>
        <sz val="9"/>
        <rFont val="Arial"/>
        <charset val="1"/>
      </rPr>
      <t>;</t>
    </r>
    <r>
      <rPr>
        <sz val="9"/>
        <rFont val="Noto Sans CJK SC"/>
        <charset val="134"/>
      </rPr>
      <t>幽门彩超</t>
    </r>
    <r>
      <rPr>
        <sz val="9"/>
        <rFont val="Arial"/>
        <charset val="1"/>
      </rPr>
      <t>;</t>
    </r>
    <r>
      <rPr>
        <sz val="9"/>
        <rFont val="Noto Sans CJK SC"/>
        <charset val="134"/>
      </rPr>
      <t>颅腔＋颅内段血管检查</t>
    </r>
    <r>
      <rPr>
        <sz val="9"/>
        <rFont val="Arial"/>
        <charset val="1"/>
      </rPr>
      <t>(</t>
    </r>
    <r>
      <rPr>
        <sz val="9"/>
        <rFont val="Noto Sans CJK SC"/>
        <charset val="134"/>
      </rPr>
      <t>彩超</t>
    </r>
    <r>
      <rPr>
        <sz val="9"/>
        <rFont val="Arial"/>
        <charset val="1"/>
      </rPr>
      <t>)</t>
    </r>
  </si>
  <si>
    <r>
      <rPr>
        <sz val="9"/>
        <rFont val="Noto Sans CJK SC"/>
        <charset val="134"/>
      </rPr>
      <t xml:space="preserve">脑中线居中，各脑室未见明显增宽，脑实质内未见明显异常回声。
</t>
    </r>
    <r>
      <rPr>
        <sz val="9"/>
        <rFont val="Arial"/>
        <charset val="1"/>
      </rPr>
      <t>CDFI</t>
    </r>
    <r>
      <rPr>
        <sz val="9"/>
        <rFont val="Noto Sans CJK SC"/>
        <charset val="134"/>
      </rPr>
      <t>：颅内血流分布及各参数未见明显异常。
肝脏切面形态正常，肝内光点分布均匀，血管走向清晰，肝右肋下</t>
    </r>
    <r>
      <rPr>
        <sz val="9"/>
        <rFont val="Arial"/>
        <charset val="1"/>
      </rPr>
      <t>2.0cm</t>
    </r>
    <r>
      <rPr>
        <sz val="9"/>
        <rFont val="Noto Sans CJK SC"/>
        <charset val="134"/>
      </rPr>
      <t>，肝内胆管未见明显扩张。
脾脏切面形态正常，左肋下</t>
    </r>
    <r>
      <rPr>
        <sz val="9"/>
        <rFont val="Arial"/>
        <charset val="1"/>
      </rPr>
      <t>0cm</t>
    </r>
    <r>
      <rPr>
        <sz val="9"/>
        <rFont val="Noto Sans CJK SC"/>
        <charset val="134"/>
      </rPr>
      <t>，厚</t>
    </r>
    <r>
      <rPr>
        <sz val="9"/>
        <rFont val="Arial"/>
        <charset val="1"/>
      </rPr>
      <t>1.0cm</t>
    </r>
    <r>
      <rPr>
        <sz val="9"/>
        <rFont val="Noto Sans CJK SC"/>
        <charset val="134"/>
      </rPr>
      <t>。
幽门未见明显肿块图像。
中上腹部可见一大小约</t>
    </r>
    <r>
      <rPr>
        <sz val="9"/>
        <rFont val="Arial"/>
        <charset val="1"/>
      </rPr>
      <t>2.1×1.4cm</t>
    </r>
    <r>
      <rPr>
        <sz val="9"/>
        <rFont val="Noto Sans CJK SC"/>
        <charset val="134"/>
      </rPr>
      <t xml:space="preserve">的光团回声，内部回声呈强弱相间的漩涡状回声，内见扩张的血管及萎瘪的肠管环绕，周围系膜肿胀，上端肠管及胃内可见液性无回声，并见散在细小强光点回声漂浮移动。右下腹未探及明确回盲部，腹腔内肠管处于萎瘪状态，余腹未见明显局限性异常回声。
</t>
    </r>
    <r>
      <rPr>
        <sz val="9"/>
        <rFont val="Arial"/>
        <charset val="1"/>
      </rPr>
      <t>CDFI</t>
    </r>
    <r>
      <rPr>
        <sz val="9"/>
        <rFont val="Noto Sans CJK SC"/>
        <charset val="134"/>
      </rPr>
      <t>：上述光团内见漩涡环绕的动静脉血流信号。</t>
    </r>
  </si>
  <si>
    <t>中上腹漩涡样光团：肠旋转不良伴中肠扭转多考虑。
幽门未见明显异常。
颅脑超声未见明显异常。
肝脏未见明显异常。
脾脏未见明显异常。</t>
  </si>
  <si>
    <r>
      <rPr>
        <sz val="9"/>
        <rFont val="Noto Sans CJK SC"/>
        <charset val="134"/>
      </rPr>
      <t xml:space="preserve">距手术 </t>
    </r>
    <r>
      <rPr>
        <sz val="9"/>
        <rFont val="Arial"/>
        <charset val="1"/>
      </rPr>
      <t xml:space="preserve">374 </t>
    </r>
    <r>
      <rPr>
        <sz val="9"/>
        <rFont val="Noto Sans CJK SC"/>
        <charset val="134"/>
      </rPr>
      <t>天</t>
    </r>
  </si>
  <si>
    <t>2025-03-03</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</si>
  <si>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小肠：上组空肠曲位于中腹部，对比剂通过尚通畅；余各组小肠位置基本正常，未见明显梗阻征象。
</t>
    </r>
    <r>
      <rPr>
        <sz val="9"/>
        <rFont val="Arial"/>
        <charset val="1"/>
      </rPr>
      <t>90</t>
    </r>
    <r>
      <rPr>
        <sz val="9"/>
        <rFont val="Noto Sans CJK SC"/>
        <charset val="134"/>
      </rPr>
      <t>分钟后复查，对比剂已达降结肠，回盲部位于右中腹。</t>
    </r>
  </si>
  <si>
    <r>
      <rPr>
        <sz val="9"/>
        <rFont val="Arial"/>
        <charset val="1"/>
      </rPr>
      <t>1.</t>
    </r>
    <r>
      <rPr>
        <sz val="9"/>
        <rFont val="Noto Sans CJK SC"/>
        <charset val="134"/>
      </rPr>
      <t xml:space="preserve">上组空肠及回盲部位置异常，结合临床符合中肠旋转不良表现；
</t>
    </r>
    <r>
      <rPr>
        <sz val="9"/>
        <rFont val="Arial"/>
        <charset val="1"/>
      </rPr>
      <t>2.</t>
    </r>
    <r>
      <rPr>
        <sz val="9"/>
        <rFont val="Noto Sans CJK SC"/>
        <charset val="134"/>
      </rPr>
      <t>消化道未见明显梗阻征象。</t>
    </r>
  </si>
  <si>
    <r>
      <rPr>
        <sz val="9"/>
        <rFont val="Noto Sans CJK SC"/>
        <charset val="134"/>
      </rPr>
      <t xml:space="preserve">索引检查距手术超过 </t>
    </r>
    <r>
      <rPr>
        <sz val="9"/>
        <rFont val="Arial"/>
        <charset val="1"/>
      </rPr>
      <t xml:space="preserve">7 </t>
    </r>
    <r>
      <rPr>
        <sz val="9"/>
        <rFont val="Noto Sans CJK SC"/>
        <charset val="134"/>
      </rPr>
      <t>天，可能与本次手术的病程无关</t>
    </r>
  </si>
  <si>
    <t>不适用</t>
  </si>
  <si>
    <t>排除（与本次手术病程无关）</t>
  </si>
  <si>
    <r>
      <rPr>
        <sz val="9"/>
        <rFont val="Noto Sans CJK SC"/>
        <charset val="134"/>
      </rPr>
      <t xml:space="preserve">距手术 </t>
    </r>
    <r>
      <rPr>
        <sz val="9"/>
        <rFont val="Arial"/>
        <charset val="1"/>
      </rPr>
      <t xml:space="preserve">17 </t>
    </r>
    <r>
      <rPr>
        <sz val="9"/>
        <rFont val="Noto Sans CJK SC"/>
        <charset val="134"/>
      </rPr>
      <t>天</t>
    </r>
  </si>
  <si>
    <t>2016-01-28</t>
  </si>
  <si>
    <r>
      <rPr>
        <sz val="9"/>
        <rFont val="Noto Sans CJK SC"/>
        <charset val="134"/>
      </rPr>
      <t>片</t>
    </r>
    <r>
      <rPr>
        <sz val="9"/>
        <rFont val="Arial"/>
        <charset val="1"/>
      </rPr>
      <t xml:space="preserve">1-4  </t>
    </r>
    <r>
      <rPr>
        <sz val="9"/>
        <rFont val="Noto Sans CJK SC"/>
        <charset val="134"/>
      </rPr>
      <t>上消化道碘水造影：
食管：边缘光滑，对比剂通过顺利；
胃：呈</t>
    </r>
    <r>
      <rPr>
        <sz val="9"/>
        <rFont val="Arial"/>
        <charset val="1"/>
      </rPr>
      <t>"</t>
    </r>
    <r>
      <rPr>
        <sz val="9"/>
        <rFont val="Noto Sans CJK SC"/>
        <charset val="134"/>
      </rPr>
      <t>钩</t>
    </r>
    <r>
      <rPr>
        <sz val="9"/>
        <rFont val="Arial"/>
        <charset val="1"/>
      </rPr>
      <t>"</t>
    </r>
    <r>
      <rPr>
        <sz val="9"/>
        <rFont val="Noto Sans CJK SC"/>
        <charset val="134"/>
      </rPr>
      <t>型，张力中等，粘膜规则，壁光整，幽门开放正常；
十二指肠：形态正常，各段通畅，未见明显梗阻及扩张。</t>
    </r>
  </si>
  <si>
    <t>上消化道未见器质性病变。</t>
  </si>
  <si>
    <t>保留</t>
  </si>
  <si>
    <r>
      <rPr>
        <sz val="9"/>
        <rFont val="Noto Sans CJK SC"/>
        <charset val="134"/>
      </rPr>
      <t xml:space="preserve">距手术 </t>
    </r>
    <r>
      <rPr>
        <sz val="9"/>
        <rFont val="Arial"/>
        <charset val="1"/>
      </rPr>
      <t xml:space="preserve">15 </t>
    </r>
    <r>
      <rPr>
        <sz val="9"/>
        <rFont val="Noto Sans CJK SC"/>
        <charset val="134"/>
      </rPr>
      <t>天</t>
    </r>
  </si>
  <si>
    <t>2015-11-17</t>
  </si>
  <si>
    <t>腹腔部分肠管积气，肠间隙稍模糊，右中下腹局部肠管内见高密度内容物影（造影剂多考虑）。肝脾、双肾及胰腺位置、大小、形态等未见明显异常，实质内密度均匀，未见异常结节肿块影。腹膜腔内未见明显积液征象。腹膜后未见明显异常结节肿块影。膀胱充盈较好，壁光滑，内部未见占位。</t>
  </si>
  <si>
    <t>腹腔部分肠管积气，肠间隙稍模糊，右中下腹局部肠管内见高密度内容物影（造影剂多考虑）。</t>
  </si>
  <si>
    <t>2020-11-18</t>
  </si>
  <si>
    <r>
      <rPr>
        <sz val="9"/>
        <rFont val="Noto Sans CJK SC"/>
        <charset val="134"/>
      </rPr>
      <t>片</t>
    </r>
    <r>
      <rPr>
        <sz val="9"/>
        <rFont val="Arial"/>
        <charset val="1"/>
      </rPr>
      <t xml:space="preserve">1-6  </t>
    </r>
    <r>
      <rPr>
        <sz val="9"/>
        <rFont val="Noto Sans CJK SC"/>
        <charset val="134"/>
      </rPr>
      <t>消化道碘水造影：床边检查
食管：边缘光滑，对比剂通过顺利</t>
    </r>
    <r>
      <rPr>
        <sz val="9"/>
        <rFont val="Arial"/>
        <charset val="1"/>
      </rPr>
      <t xml:space="preserve">;
</t>
    </r>
    <r>
      <rPr>
        <sz val="9"/>
        <rFont val="Noto Sans CJK SC"/>
        <charset val="134"/>
      </rPr>
      <t>胃：显示扩张，壁光整，幽门处开放状态</t>
    </r>
    <r>
      <rPr>
        <sz val="9"/>
        <rFont val="Arial"/>
        <charset val="1"/>
      </rPr>
      <t xml:space="preserve">;
</t>
    </r>
    <r>
      <rPr>
        <sz val="9"/>
        <rFont val="Noto Sans CJK SC"/>
        <charset val="134"/>
      </rPr>
      <t>小肠：十二指肠球部及球后段显示扩张，初始其远段肠腔充盈差，对比剂通过显示不畅，空肠位于右中下腹。左腹部小肠显示扩张。
约</t>
    </r>
    <r>
      <rPr>
        <sz val="9"/>
        <rFont val="Arial"/>
        <charset val="1"/>
      </rPr>
      <t>32</t>
    </r>
    <r>
      <rPr>
        <sz val="9"/>
        <rFont val="Noto Sans CJK SC"/>
        <charset val="134"/>
      </rPr>
      <t>小时后复查，对比剂到达结肠及直肠，结肠框形态欠规则，似见回盲部位于右中腹。胃及小肠内见对比剂影。</t>
    </r>
  </si>
  <si>
    <r>
      <rPr>
        <sz val="9"/>
        <rFont val="Arial"/>
        <charset val="1"/>
      </rPr>
      <t>1.</t>
    </r>
    <r>
      <rPr>
        <sz val="9"/>
        <rFont val="Noto Sans CJK SC"/>
        <charset val="134"/>
      </rPr>
      <t xml:space="preserve">十二指肠不全性梗阻。结合小肠分布及回盲部位置，中场旋转不良考虑。
</t>
    </r>
    <r>
      <rPr>
        <sz val="9"/>
        <rFont val="Arial"/>
        <charset val="1"/>
      </rPr>
      <t>2.</t>
    </r>
    <r>
      <rPr>
        <sz val="9"/>
        <rFont val="Noto Sans CJK SC"/>
        <charset val="134"/>
      </rPr>
      <t>肠动力减低。</t>
    </r>
  </si>
  <si>
    <r>
      <rPr>
        <sz val="9"/>
        <rFont val="Noto Sans CJK SC"/>
        <charset val="134"/>
      </rPr>
      <t xml:space="preserve">距手术 </t>
    </r>
    <r>
      <rPr>
        <sz val="9"/>
        <rFont val="Arial"/>
        <charset val="1"/>
      </rPr>
      <t xml:space="preserve">14 </t>
    </r>
    <r>
      <rPr>
        <sz val="9"/>
        <rFont val="Noto Sans CJK SC"/>
        <charset val="134"/>
      </rPr>
      <t>天</t>
    </r>
  </si>
  <si>
    <t>2019-01-31</t>
  </si>
  <si>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床旁彩色多普勒超声检查</t>
    </r>
  </si>
  <si>
    <r>
      <rPr>
        <sz val="9"/>
        <rFont val="Noto Sans CJK SC"/>
        <charset val="134"/>
      </rPr>
      <t>复查：
肝脏切面形态正常，肝内光点分布均匀，血管走向清晰，肝右肋下</t>
    </r>
    <r>
      <rPr>
        <sz val="9"/>
        <rFont val="Arial"/>
        <charset val="1"/>
      </rPr>
      <t>1.7cm</t>
    </r>
    <r>
      <rPr>
        <sz val="9"/>
        <rFont val="Noto Sans CJK SC"/>
        <charset val="134"/>
      </rPr>
      <t>。
脾脏切面形态正常，左肋下</t>
    </r>
    <r>
      <rPr>
        <sz val="9"/>
        <rFont val="Arial"/>
        <charset val="1"/>
      </rPr>
      <t>1.0cm</t>
    </r>
    <r>
      <rPr>
        <sz val="9"/>
        <rFont val="Noto Sans CJK SC"/>
        <charset val="134"/>
      </rPr>
      <t>，厚</t>
    </r>
    <r>
      <rPr>
        <sz val="9"/>
        <rFont val="Arial"/>
        <charset val="1"/>
      </rPr>
      <t>1.1cm</t>
    </r>
    <r>
      <rPr>
        <sz val="9"/>
        <rFont val="Noto Sans CJK SC"/>
        <charset val="134"/>
      </rPr>
      <t>。
中上腹小肠肠肠管散在积气明显，结肠肝区可见升结肠细小、宽约</t>
    </r>
    <r>
      <rPr>
        <sz val="9"/>
        <rFont val="Arial"/>
        <charset val="1"/>
      </rPr>
      <t>0.7cm</t>
    </r>
    <r>
      <rPr>
        <sz val="9"/>
        <rFont val="Noto Sans CJK SC"/>
        <charset val="134"/>
      </rPr>
      <t>，结肠脾区可见降结肠宽约</t>
    </r>
    <r>
      <rPr>
        <sz val="9"/>
        <rFont val="Arial"/>
        <charset val="1"/>
      </rPr>
      <t>1.1cm</t>
    </r>
    <r>
      <rPr>
        <sz val="9"/>
        <rFont val="Noto Sans CJK SC"/>
        <charset val="134"/>
      </rPr>
      <t>，乙状结肠似走行迂曲冗长，由左侧腹向右下走行，右下一处宽约</t>
    </r>
    <r>
      <rPr>
        <sz val="9"/>
        <rFont val="Arial"/>
        <charset val="1"/>
      </rPr>
      <t>1.4cm</t>
    </r>
    <r>
      <rPr>
        <sz val="9"/>
        <rFont val="Noto Sans CJK SC"/>
        <charset val="134"/>
      </rPr>
      <t>，膀胱后方直肠宽约</t>
    </r>
    <r>
      <rPr>
        <sz val="9"/>
        <rFont val="Arial"/>
        <charset val="1"/>
      </rPr>
      <t>1.5cm</t>
    </r>
    <r>
      <rPr>
        <sz val="9"/>
        <rFont val="Noto Sans CJK SC"/>
        <charset val="134"/>
      </rPr>
      <t>，上述肠管内均可见肠内容物充盈，另肠间可见数处无回声区，左、右侧腹较深一处处前后径约</t>
    </r>
    <r>
      <rPr>
        <sz val="9"/>
        <rFont val="Arial"/>
        <charset val="1"/>
      </rPr>
      <t>1.5cm</t>
    </r>
    <r>
      <rPr>
        <sz val="9"/>
        <rFont val="Noto Sans CJK SC"/>
        <charset val="134"/>
      </rPr>
      <t xml:space="preserve">。
</t>
    </r>
    <r>
      <rPr>
        <sz val="9"/>
        <rFont val="Arial"/>
        <charset val="1"/>
      </rPr>
      <t>CDFI:</t>
    </r>
    <r>
      <rPr>
        <sz val="9"/>
        <rFont val="Noto Sans CJK SC"/>
        <charset val="134"/>
      </rPr>
      <t>上述无回声区内未见血流信号。</t>
    </r>
  </si>
  <si>
    <r>
      <rPr>
        <sz val="9"/>
        <rFont val="Noto Sans CJK SC"/>
        <charset val="134"/>
      </rPr>
      <t>（床边彩超）
中上腹肠积气显著、
结肠肝区略细小，乙状结肠走行似迂曲冗长，建议结合临床除外消化道畸形。
腹腔数处肠间积液。
肝右肋下</t>
    </r>
    <r>
      <rPr>
        <sz val="9"/>
        <rFont val="Arial"/>
        <charset val="1"/>
      </rPr>
      <t>1.7cm</t>
    </r>
    <r>
      <rPr>
        <sz val="9"/>
        <rFont val="Noto Sans CJK SC"/>
        <charset val="134"/>
      </rPr>
      <t>。
脾左肋下</t>
    </r>
    <r>
      <rPr>
        <sz val="9"/>
        <rFont val="Arial"/>
        <charset val="1"/>
      </rPr>
      <t>1.0cm</t>
    </r>
    <r>
      <rPr>
        <sz val="9"/>
        <rFont val="Noto Sans CJK SC"/>
        <charset val="134"/>
      </rPr>
      <t>。</t>
    </r>
  </si>
  <si>
    <r>
      <rPr>
        <sz val="9"/>
        <rFont val="Noto Sans CJK SC"/>
        <charset val="134"/>
      </rPr>
      <t xml:space="preserve">距手术 </t>
    </r>
    <r>
      <rPr>
        <sz val="9"/>
        <rFont val="Arial"/>
        <charset val="1"/>
      </rPr>
      <t xml:space="preserve">13 </t>
    </r>
    <r>
      <rPr>
        <sz val="9"/>
        <rFont val="Noto Sans CJK SC"/>
        <charset val="134"/>
      </rPr>
      <t>天</t>
    </r>
  </si>
  <si>
    <r>
      <rPr>
        <sz val="9"/>
        <rFont val="Noto Sans CJK SC"/>
        <charset val="134"/>
      </rPr>
      <t>腹部</t>
    </r>
    <r>
      <rPr>
        <sz val="9"/>
        <rFont val="Arial"/>
        <charset val="1"/>
      </rPr>
      <t>CT</t>
    </r>
    <r>
      <rPr>
        <sz val="9"/>
        <rFont val="Noto Sans CJK SC"/>
        <charset val="134"/>
      </rPr>
      <t>平扫＋增强</t>
    </r>
  </si>
  <si>
    <t>肝脏大，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肝脾及双肾未见异常强化灶，门静脉周围可见水肿。未见其他异常强化灶。</t>
  </si>
  <si>
    <t>肝大。门静脉周围可见水肿。胆囊可见显示。</t>
  </si>
  <si>
    <r>
      <rPr>
        <sz val="9"/>
        <rFont val="Noto Sans CJK SC"/>
        <charset val="134"/>
      </rPr>
      <t xml:space="preserve">距手术 </t>
    </r>
    <r>
      <rPr>
        <sz val="9"/>
        <rFont val="Arial"/>
        <charset val="1"/>
      </rPr>
      <t xml:space="preserve">11 </t>
    </r>
    <r>
      <rPr>
        <sz val="9"/>
        <rFont val="Noto Sans CJK SC"/>
        <charset val="134"/>
      </rPr>
      <t>天</t>
    </r>
  </si>
  <si>
    <t>2014-04-05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</si>
  <si>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改变，对比剂通过显示不畅，上组空肠位于中下腹。余各组小肠显示通畅，未见梗阻及扩张。
</t>
    </r>
    <r>
      <rPr>
        <sz val="9"/>
        <rFont val="Arial"/>
        <charset val="1"/>
      </rPr>
      <t>5</t>
    </r>
    <r>
      <rPr>
        <sz val="9"/>
        <rFont val="Noto Sans CJK SC"/>
        <charset val="134"/>
      </rPr>
      <t>小时后复查，对比剂已达直肠，右半结肠及回盲部显示欠佳。</t>
    </r>
  </si>
  <si>
    <t>中肠旋转不良？建议钡灌检查，观察回盲部位置。</t>
  </si>
  <si>
    <r>
      <rPr>
        <sz val="9"/>
        <rFont val="Noto Sans CJK SC"/>
        <charset val="134"/>
      </rPr>
      <t xml:space="preserve">距手术 </t>
    </r>
    <r>
      <rPr>
        <sz val="9"/>
        <rFont val="Arial"/>
        <charset val="1"/>
      </rPr>
      <t xml:space="preserve">10 </t>
    </r>
    <r>
      <rPr>
        <sz val="9"/>
        <rFont val="Noto Sans CJK SC"/>
        <charset val="134"/>
      </rPr>
      <t>天</t>
    </r>
  </si>
  <si>
    <r>
      <rPr>
        <sz val="9"/>
        <rFont val="Noto Sans CJK SC"/>
        <charset val="134"/>
      </rPr>
      <t>颅腔＋颅内段血管检查</t>
    </r>
    <r>
      <rPr>
        <sz val="9"/>
        <rFont val="Arial"/>
        <charset val="1"/>
      </rPr>
      <t>(</t>
    </r>
    <r>
      <rPr>
        <sz val="9"/>
        <rFont val="Noto Sans CJK SC"/>
        <charset val="134"/>
      </rPr>
      <t>彩超</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床旁彩色多普勒超声检查</t>
    </r>
    <r>
      <rPr>
        <sz val="9"/>
        <rFont val="Arial"/>
        <charset val="1"/>
      </rPr>
      <t>,</t>
    </r>
    <r>
      <rPr>
        <sz val="9"/>
        <rFont val="Noto Sans CJK SC"/>
        <charset val="134"/>
      </rPr>
      <t>心脏彩超＋左心功能测定</t>
    </r>
    <r>
      <rPr>
        <sz val="9"/>
        <rFont val="Arial"/>
        <charset val="1"/>
      </rPr>
      <t>(</t>
    </r>
    <r>
      <rPr>
        <sz val="9"/>
        <rFont val="Noto Sans CJK SC"/>
        <charset val="134"/>
      </rPr>
      <t>彩超</t>
    </r>
    <r>
      <rPr>
        <sz val="9"/>
        <rFont val="Arial"/>
        <charset val="1"/>
      </rPr>
      <t>)</t>
    </r>
  </si>
  <si>
    <r>
      <rPr>
        <sz val="9"/>
        <rFont val="Noto Sans CJK SC"/>
        <charset val="134"/>
      </rPr>
      <t xml:space="preserve">患儿哭闹剧烈！剑突下双房切面因肠气遮挡显示欠清，可显示切面探查：
</t>
    </r>
    <r>
      <rPr>
        <sz val="9"/>
        <rFont val="Arial"/>
        <charset val="1"/>
      </rPr>
      <t>1</t>
    </r>
    <r>
      <rPr>
        <sz val="9"/>
        <rFont val="Noto Sans CJK SC"/>
        <charset val="134"/>
      </rPr>
      <t xml:space="preserve">、主动脉内径不宽，主动脉弓降部正常，肺动脉主干及其分支未见明显异常；
</t>
    </r>
    <r>
      <rPr>
        <sz val="9"/>
        <rFont val="Arial"/>
        <charset val="1"/>
      </rPr>
      <t>2</t>
    </r>
    <r>
      <rPr>
        <sz val="9"/>
        <rFont val="Noto Sans CJK SC"/>
        <charset val="134"/>
      </rPr>
      <t xml:space="preserve">、心房、心室未见明显增大；
</t>
    </r>
    <r>
      <rPr>
        <sz val="9"/>
        <rFont val="Arial"/>
        <charset val="1"/>
      </rPr>
      <t>3</t>
    </r>
    <r>
      <rPr>
        <sz val="9"/>
        <rFont val="Noto Sans CJK SC"/>
        <charset val="134"/>
      </rPr>
      <t xml:space="preserve">、各瓣膜形态、结构、启闭未见明显异常；
</t>
    </r>
    <r>
      <rPr>
        <sz val="9"/>
        <rFont val="Arial"/>
        <charset val="1"/>
      </rPr>
      <t>4</t>
    </r>
    <r>
      <rPr>
        <sz val="9"/>
        <rFont val="Noto Sans CJK SC"/>
        <charset val="134"/>
      </rPr>
      <t xml:space="preserve">、房、室间隔未见明显连续中断；
</t>
    </r>
    <r>
      <rPr>
        <sz val="9"/>
        <rFont val="Arial"/>
        <charset val="1"/>
      </rPr>
      <t>5</t>
    </r>
    <r>
      <rPr>
        <sz val="9"/>
        <rFont val="Noto Sans CJK SC"/>
        <charset val="134"/>
      </rPr>
      <t>、</t>
    </r>
    <r>
      <rPr>
        <sz val="9"/>
        <rFont val="Arial"/>
        <charset val="1"/>
      </rPr>
      <t xml:space="preserve">CDFI: </t>
    </r>
    <r>
      <rPr>
        <sz val="9"/>
        <rFont val="Noto Sans CJK SC"/>
        <charset val="134"/>
      </rPr>
      <t xml:space="preserve">心内未见明显异常血流信号；
</t>
    </r>
    <r>
      <rPr>
        <sz val="9"/>
        <rFont val="Arial"/>
        <charset val="1"/>
      </rPr>
      <t>6</t>
    </r>
    <r>
      <rPr>
        <sz val="9"/>
        <rFont val="Noto Sans CJK SC"/>
        <charset val="134"/>
      </rPr>
      <t>、左室收缩功能测值：</t>
    </r>
    <r>
      <rPr>
        <sz val="9"/>
        <rFont val="Arial"/>
        <charset val="1"/>
      </rPr>
      <t>EF</t>
    </r>
    <r>
      <rPr>
        <sz val="9"/>
        <rFont val="Noto Sans CJK SC"/>
        <charset val="134"/>
      </rPr>
      <t>＝</t>
    </r>
    <r>
      <rPr>
        <sz val="9"/>
        <rFont val="Arial"/>
        <charset val="1"/>
      </rPr>
      <t>63%</t>
    </r>
    <r>
      <rPr>
        <sz val="9"/>
        <rFont val="Noto Sans CJK SC"/>
        <charset val="134"/>
      </rPr>
      <t>；</t>
    </r>
    <r>
      <rPr>
        <sz val="9"/>
        <rFont val="Arial"/>
        <charset val="1"/>
      </rPr>
      <t>FS</t>
    </r>
    <r>
      <rPr>
        <sz val="9"/>
        <rFont val="Noto Sans CJK SC"/>
        <charset val="134"/>
      </rPr>
      <t>＝</t>
    </r>
    <r>
      <rPr>
        <sz val="9"/>
        <rFont val="Arial"/>
        <charset val="1"/>
      </rPr>
      <t>31%</t>
    </r>
    <r>
      <rPr>
        <sz val="9"/>
        <rFont val="Noto Sans CJK SC"/>
        <charset val="134"/>
      </rPr>
      <t xml:space="preserve">；
</t>
    </r>
    <r>
      <rPr>
        <sz val="9"/>
        <rFont val="Arial"/>
        <charset val="1"/>
      </rPr>
      <t>7</t>
    </r>
    <r>
      <rPr>
        <sz val="9"/>
        <rFont val="Noto Sans CJK SC"/>
        <charset val="134"/>
      </rPr>
      <t>、</t>
    </r>
    <r>
      <rPr>
        <sz val="9"/>
        <rFont val="Arial"/>
        <charset val="1"/>
      </rPr>
      <t>TDI</t>
    </r>
    <r>
      <rPr>
        <sz val="9"/>
        <rFont val="Noto Sans CJK SC"/>
        <charset val="134"/>
      </rPr>
      <t>示室间隔基底段</t>
    </r>
    <r>
      <rPr>
        <sz val="9"/>
        <rFont val="Arial"/>
        <charset val="1"/>
      </rPr>
      <t>e'/a'</t>
    </r>
    <r>
      <rPr>
        <sz val="9"/>
        <rFont val="Noto Sans CJK SC"/>
        <charset val="134"/>
      </rPr>
      <t>＞</t>
    </r>
    <r>
      <rPr>
        <sz val="9"/>
        <rFont val="Arial"/>
        <charset val="1"/>
      </rPr>
      <t>1</t>
    </r>
    <r>
      <rPr>
        <sz val="9"/>
        <rFont val="Noto Sans CJK SC"/>
        <charset val="134"/>
      </rPr>
      <t>。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xml:space="preserve">。
</t>
    </r>
    <r>
      <rPr>
        <sz val="9"/>
        <rFont val="Arial"/>
        <charset val="1"/>
      </rPr>
      <t>CDFI:</t>
    </r>
    <r>
      <rPr>
        <sz val="9"/>
        <rFont val="Noto Sans CJK SC"/>
        <charset val="134"/>
      </rPr>
      <t xml:space="preserve">上述部位未见异常血流信号。
脑中线居中，各脑室未见明显增宽，脑实质内未见明显异常回声。
</t>
    </r>
    <r>
      <rPr>
        <sz val="9"/>
        <rFont val="Arial"/>
        <charset val="1"/>
      </rPr>
      <t>CDFI</t>
    </r>
    <r>
      <rPr>
        <sz val="9"/>
        <rFont val="Noto Sans CJK SC"/>
        <charset val="134"/>
      </rPr>
      <t xml:space="preserve">：颅内血流分布及各参数未见明显异常。
上腹被大片肠气强反射回声遮盖，后方结构显示不清。余腹未见明显局限性肿块图像及积液征。
</t>
    </r>
    <r>
      <rPr>
        <sz val="9"/>
        <rFont val="Arial"/>
        <charset val="1"/>
      </rPr>
      <t>CDFI</t>
    </r>
    <r>
      <rPr>
        <sz val="9"/>
        <rFont val="Noto Sans CJK SC"/>
        <charset val="134"/>
      </rPr>
      <t>：患儿哭闹，上述部位血流信号杂乱。</t>
    </r>
  </si>
  <si>
    <t>心脏结构、形态、瓣膜活动未见明显异常。
左室功能正常。
肝脏未见明显异常。
脾脏未见明显异常。
颅脑超声未见明显异常。
肠积气。（较显著）</t>
  </si>
  <si>
    <t>2014-03-12</t>
  </si>
  <si>
    <t>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腹腔及腹膜后未见明显异常肿块及积液影。部分肠管见较多高密度造影剂充盈。肠管未见明显扩张积气积液。增强扫描未见明显异常征象，肠系膜血管未见明显异常扭转。</t>
  </si>
  <si>
    <r>
      <rPr>
        <sz val="9"/>
        <rFont val="Noto Sans CJK SC"/>
        <charset val="134"/>
      </rPr>
      <t>颅脑</t>
    </r>
    <r>
      <rPr>
        <sz val="9"/>
        <rFont val="Arial"/>
        <charset val="1"/>
      </rPr>
      <t>CT</t>
    </r>
    <r>
      <rPr>
        <sz val="9"/>
        <rFont val="Noto Sans CJK SC"/>
        <charset val="134"/>
      </rPr>
      <t>平扫未见明显异常。 
腹盆腔</t>
    </r>
    <r>
      <rPr>
        <sz val="9"/>
        <rFont val="Arial"/>
        <charset val="1"/>
      </rPr>
      <t>CT</t>
    </r>
    <r>
      <rPr>
        <sz val="9"/>
        <rFont val="Noto Sans CJK SC"/>
        <charset val="134"/>
      </rPr>
      <t>扫描未见明显异常，结合临床追踪观察。</t>
    </r>
  </si>
  <si>
    <r>
      <rPr>
        <sz val="9"/>
        <rFont val="Noto Sans CJK SC"/>
        <charset val="134"/>
      </rPr>
      <t>肝脏形状体积稍大，肝实质密度弥漫性稍低，</t>
    </r>
    <r>
      <rPr>
        <sz val="9"/>
        <rFont val="Arial"/>
        <charset val="1"/>
      </rPr>
      <t>CT</t>
    </r>
    <r>
      <rPr>
        <sz val="9"/>
        <rFont val="Noto Sans CJK SC"/>
        <charset val="134"/>
      </rPr>
      <t>值约</t>
    </r>
    <r>
      <rPr>
        <sz val="9"/>
        <rFont val="Arial"/>
        <charset val="1"/>
      </rPr>
      <t>45Hu</t>
    </r>
    <r>
      <rPr>
        <sz val="9"/>
        <rFont val="Noto Sans CJK SC"/>
        <charset val="134"/>
      </rPr>
      <t>（脾脏</t>
    </r>
    <r>
      <rPr>
        <sz val="9"/>
        <rFont val="Arial"/>
        <charset val="1"/>
      </rPr>
      <t>CT</t>
    </r>
    <r>
      <rPr>
        <sz val="9"/>
        <rFont val="Noto Sans CJK SC"/>
        <charset val="134"/>
      </rPr>
      <t>值约</t>
    </r>
    <r>
      <rPr>
        <sz val="9"/>
        <rFont val="Arial"/>
        <charset val="1"/>
      </rPr>
      <t>47Hu</t>
    </r>
    <r>
      <rPr>
        <sz val="9"/>
        <rFont val="Noto Sans CJK SC"/>
        <charset val="134"/>
      </rPr>
      <t>）；肝内胆管未见明显扩张征象。胆囊可见显示。脾脏及双肾位置、大小、形态及密度未见明显异常改变。胰腺未见明显异常。腹腔内肠管可见扩张积气，肠间隙模糊，腹腔内可见积液影。腹膜后未见明显占位征象。
扫描所及：双肺下叶可见条索状高密度影。</t>
    </r>
  </si>
  <si>
    <t>肝大，肝实质密度稍低，腹腔肠管积气，肠间隙模糊，腹腔积液。
扫描所及：双肺肺炎。</t>
  </si>
  <si>
    <t>2016-07-25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</si>
  <si>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胃：胃呈水平位，稍显扩张，贲门位置正常，对比剂通过幽门尚可</t>
    </r>
    <r>
      <rPr>
        <sz val="9"/>
        <rFont val="Arial"/>
        <charset val="1"/>
      </rPr>
      <t xml:space="preserve">;
</t>
    </r>
    <r>
      <rPr>
        <sz val="9"/>
        <rFont val="Noto Sans CJK SC"/>
        <charset val="134"/>
      </rPr>
      <t xml:space="preserve">小肠：十二指肠稍显扩张，空肠位于中腹部，小肠显示通畅，未见梗阻及扩张。
</t>
    </r>
    <r>
      <rPr>
        <sz val="9"/>
        <rFont val="Arial"/>
        <charset val="1"/>
      </rPr>
      <t>2</t>
    </r>
    <r>
      <rPr>
        <sz val="9"/>
        <rFont val="Noto Sans CJK SC"/>
        <charset val="134"/>
      </rPr>
      <t>小时后复查，对比剂已达末段回肠及结肠。
脐部见含对比剂肠管影突入。</t>
    </r>
  </si>
  <si>
    <r>
      <rPr>
        <sz val="9"/>
        <rFont val="Noto Sans CJK SC"/>
        <charset val="134"/>
      </rPr>
      <t>结合前片（</t>
    </r>
    <r>
      <rPr>
        <sz val="9"/>
        <rFont val="Arial"/>
        <charset val="1"/>
      </rPr>
      <t>5</t>
    </r>
    <r>
      <rPr>
        <sz val="9"/>
        <rFont val="Noto Sans CJK SC"/>
        <charset val="134"/>
      </rPr>
      <t>月</t>
    </r>
    <r>
      <rPr>
        <sz val="9"/>
        <rFont val="Arial"/>
        <charset val="1"/>
      </rPr>
      <t>18</t>
    </r>
    <r>
      <rPr>
        <sz val="9"/>
        <rFont val="Noto Sans CJK SC"/>
        <charset val="134"/>
      </rPr>
      <t>、</t>
    </r>
    <r>
      <rPr>
        <sz val="9"/>
        <rFont val="Arial"/>
        <charset val="1"/>
      </rPr>
      <t>19</t>
    </r>
    <r>
      <rPr>
        <sz val="9"/>
        <rFont val="Noto Sans CJK SC"/>
        <charset val="134"/>
      </rPr>
      <t>日消化道造影）中肠旋转不良可能，建议结合临床综合考虑。脐疝？</t>
    </r>
  </si>
  <si>
    <r>
      <rPr>
        <sz val="9"/>
        <rFont val="Noto Sans CJK SC"/>
        <charset val="134"/>
      </rPr>
      <t xml:space="preserve">距手术 </t>
    </r>
    <r>
      <rPr>
        <sz val="9"/>
        <rFont val="Arial"/>
        <charset val="1"/>
      </rPr>
      <t xml:space="preserve">9 </t>
    </r>
    <r>
      <rPr>
        <sz val="9"/>
        <rFont val="Noto Sans CJK SC"/>
        <charset val="134"/>
      </rPr>
      <t>天</t>
    </r>
  </si>
  <si>
    <r>
      <rPr>
        <sz val="9"/>
        <rFont val="Noto Sans CJK SC"/>
        <charset val="134"/>
      </rPr>
      <t>胃肠道彩超</t>
    </r>
    <r>
      <rPr>
        <sz val="9"/>
        <rFont val="Arial"/>
        <charset val="1"/>
      </rPr>
      <t>,</t>
    </r>
    <r>
      <rPr>
        <sz val="9"/>
        <rFont val="Noto Sans CJK SC"/>
        <charset val="134"/>
      </rPr>
      <t>床旁彩色多普勒超声检查</t>
    </r>
    <r>
      <rPr>
        <sz val="9"/>
        <rFont val="Arial"/>
        <charset val="1"/>
      </rPr>
      <t>(</t>
    </r>
    <r>
      <rPr>
        <sz val="9"/>
        <rFont val="Noto Sans CJK SC"/>
        <charset val="134"/>
      </rPr>
      <t>彩超</t>
    </r>
    <r>
      <rPr>
        <sz val="9"/>
        <rFont val="Arial"/>
        <charset val="1"/>
      </rPr>
      <t>)</t>
    </r>
  </si>
  <si>
    <r>
      <rPr>
        <sz val="9"/>
        <rFont val="Noto Sans CJK SC"/>
        <charset val="134"/>
      </rPr>
      <t xml:space="preserve">腹腔内可见较多气体强反射回声，以中上腹为甚，余腹未见明显局限性肿块图像及积液征。
</t>
    </r>
    <r>
      <rPr>
        <sz val="9"/>
        <rFont val="Arial"/>
        <charset val="1"/>
      </rPr>
      <t>CDFI:</t>
    </r>
    <r>
      <rPr>
        <sz val="9"/>
        <rFont val="Noto Sans CJK SC"/>
        <charset val="134"/>
      </rPr>
      <t>上述部位未见异常血流信号。</t>
    </r>
  </si>
  <si>
    <t>肠积气。
（本次探查中未探及明显“肠旋转不良”征象，建议进一步检查！）</t>
  </si>
  <si>
    <t>2015-08-07</t>
  </si>
  <si>
    <t>肝脏形状体积正常，其内密度较均匀，未见明显肿块影；肝内胆管未见明显扩张征象。胆囊可见显示。脾脏及双肾位置、大小、形态及密度未见明显异常改变。胰腺显示不清。腹腔内局部肠管稍扩张积气，局部肠壁稍厚，腹腔大量积液，肠管呈漂浮征。腹膜后未见明显占位征象。
双侧脑白质密度稍低，颅内未见异常高密度灶。脑沟裂未见明显增宽。左侧脑室稍大。双侧基底节、丘脑及小脑未见明显异常密度灶。中线结构未见移位。颅骨未见明显异常。透明隔间腔存在。</t>
  </si>
  <si>
    <t>腹腔内局部肠管稍扩张积气，局部肠壁稍厚，腹腔大量积液，肠管呈漂浮征。请结合临床。
双侧脑白质密度稍低，左侧脑室稍大。请结合临床。</t>
  </si>
  <si>
    <t>2016-11-28</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</si>
  <si>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部分肠管积气，肠管内可见斑块状致密影，腹腔内未见明显积液。腹膜后未见明显占位征象。
    左肺下叶见片状磨玻璃样密度增高影，边缘模糊。</t>
  </si>
  <si>
    <r>
      <rPr>
        <sz val="9"/>
        <rFont val="Noto Sans CJK SC"/>
        <charset val="134"/>
      </rPr>
      <t>颅脑</t>
    </r>
    <r>
      <rPr>
        <sz val="9"/>
        <rFont val="Arial"/>
        <charset val="1"/>
      </rPr>
      <t>CT</t>
    </r>
    <r>
      <rPr>
        <sz val="9"/>
        <rFont val="Noto Sans CJK SC"/>
        <charset val="134"/>
      </rPr>
      <t>平扫未见明显异常。 
胃腔及部分肠管积气；肠管内致密影，造影剂首先考虑，请结合临床；
左肺下叶磨玻璃影，坠积效应首先考虑，请结合临床。</t>
    </r>
  </si>
  <si>
    <t>幽门彩超</t>
  </si>
  <si>
    <r>
      <rPr>
        <sz val="9"/>
        <rFont val="Noto Sans CJK SC"/>
        <charset val="134"/>
      </rPr>
      <t>上腹部大片气体强反射回声，幽门显示欠佳。右上腹见幽门管管长</t>
    </r>
    <r>
      <rPr>
        <sz val="9"/>
        <rFont val="Arial"/>
        <charset val="1"/>
      </rPr>
      <t>1.2cm</t>
    </r>
    <r>
      <rPr>
        <sz val="9"/>
        <rFont val="Noto Sans CJK SC"/>
        <charset val="134"/>
      </rPr>
      <t>，幽门直径</t>
    </r>
    <r>
      <rPr>
        <sz val="9"/>
        <rFont val="Arial"/>
        <charset val="1"/>
      </rPr>
      <t>1.0cm</t>
    </r>
    <r>
      <rPr>
        <sz val="9"/>
        <rFont val="Noto Sans CJK SC"/>
        <charset val="134"/>
      </rPr>
      <t>，幽门肌层厚</t>
    </r>
    <r>
      <rPr>
        <sz val="9"/>
        <rFont val="Arial"/>
        <charset val="1"/>
      </rPr>
      <t>0.30cm</t>
    </r>
    <r>
      <rPr>
        <sz val="9"/>
        <rFont val="Noto Sans CJK SC"/>
        <charset val="134"/>
      </rPr>
      <t xml:space="preserve">，检查过程中可见少量胃内容物通过幽门。
</t>
    </r>
    <r>
      <rPr>
        <sz val="9"/>
        <rFont val="Arial"/>
        <charset val="1"/>
      </rPr>
      <t>CDFI:</t>
    </r>
    <r>
      <rPr>
        <sz val="9"/>
        <rFont val="Noto Sans CJK SC"/>
        <charset val="134"/>
      </rPr>
      <t>上述部位未见异常血流信号。</t>
    </r>
  </si>
  <si>
    <t>幽门肌层稍厚，建议进一步检查。</t>
  </si>
  <si>
    <t>2024-12-16</t>
  </si>
  <si>
    <r>
      <rPr>
        <sz val="9"/>
        <rFont val="Noto Sans CJK SC"/>
        <charset val="134"/>
      </rPr>
      <t>全消化道钡餐造影</t>
    </r>
    <r>
      <rPr>
        <sz val="9"/>
        <rFont val="Arial"/>
        <charset val="1"/>
      </rPr>
      <t>(DR)</t>
    </r>
  </si>
  <si>
    <r>
      <rPr>
        <sz val="9"/>
        <rFont val="Noto Sans CJK SC"/>
        <charset val="134"/>
      </rPr>
      <t>片</t>
    </r>
    <r>
      <rPr>
        <sz val="9"/>
        <rFont val="Arial"/>
        <charset val="1"/>
      </rPr>
      <t xml:space="preserve">1-6  </t>
    </r>
    <r>
      <rPr>
        <sz val="9"/>
        <rFont val="Noto Sans CJK SC"/>
        <charset val="134"/>
      </rPr>
      <t>消化道造影检查
食管：显示扩张，边缘光滑，对比剂通过顺利</t>
    </r>
    <r>
      <rPr>
        <sz val="9"/>
        <rFont val="Arial"/>
        <charset val="1"/>
      </rPr>
      <t xml:space="preserve">;
</t>
    </r>
    <r>
      <rPr>
        <sz val="9"/>
        <rFont val="Noto Sans CJK SC"/>
        <charset val="134"/>
      </rPr>
      <t>胃：胃体明显扩张，呈水平位，壁光整，幽门开放正常</t>
    </r>
    <r>
      <rPr>
        <sz val="9"/>
        <rFont val="Arial"/>
        <charset val="1"/>
      </rPr>
      <t xml:space="preserve">;
</t>
    </r>
    <r>
      <rPr>
        <sz val="9"/>
        <rFont val="Noto Sans CJK SC"/>
        <charset val="134"/>
      </rPr>
      <t>小肠：所见小肠均显示胀气，但未见明显扩张；十二指肠圈呈“</t>
    </r>
    <r>
      <rPr>
        <sz val="9"/>
        <rFont val="Arial"/>
        <charset val="1"/>
      </rPr>
      <t>C”</t>
    </r>
    <r>
      <rPr>
        <sz val="9"/>
        <rFont val="Noto Sans CJK SC"/>
        <charset val="134"/>
      </rPr>
      <t>形，近段空肠位于右中腹；</t>
    </r>
    <r>
      <rPr>
        <sz val="9"/>
        <rFont val="Arial"/>
        <charset val="1"/>
      </rPr>
      <t>2-6</t>
    </r>
    <r>
      <rPr>
        <sz val="9"/>
        <rFont val="Noto Sans CJK SC"/>
        <charset val="134"/>
      </rPr>
      <t xml:space="preserve">组小肠显示通畅。
</t>
    </r>
    <r>
      <rPr>
        <sz val="9"/>
        <rFont val="Arial"/>
        <charset val="1"/>
      </rPr>
      <t>150</t>
    </r>
    <r>
      <rPr>
        <sz val="9"/>
        <rFont val="Noto Sans CJK SC"/>
        <charset val="134"/>
      </rPr>
      <t>分钟后复查，对比剂已达末段回肠。</t>
    </r>
    <r>
      <rPr>
        <sz val="9"/>
        <rFont val="Arial"/>
        <charset val="1"/>
      </rPr>
      <t>6</t>
    </r>
    <r>
      <rPr>
        <sz val="9"/>
        <rFont val="Noto Sans CJK SC"/>
        <charset val="134"/>
      </rPr>
      <t>小时复查，对比剂已达结肠，结肠未见明显扩张，回盲部位置似偏高，胃体仍明显扩张。</t>
    </r>
  </si>
  <si>
    <r>
      <rPr>
        <sz val="9"/>
        <rFont val="Arial"/>
        <charset val="1"/>
      </rPr>
      <t>1.</t>
    </r>
    <r>
      <rPr>
        <sz val="9"/>
        <rFont val="Noto Sans CJK SC"/>
        <charset val="134"/>
      </rPr>
      <t xml:space="preserve">消化道胀气，食管及胃扩张。吞气症可以考虑，建议结合临床。
</t>
    </r>
    <r>
      <rPr>
        <sz val="9"/>
        <rFont val="Arial"/>
        <charset val="1"/>
      </rPr>
      <t>2.</t>
    </r>
    <r>
      <rPr>
        <sz val="9"/>
        <rFont val="Noto Sans CJK SC"/>
        <charset val="134"/>
      </rPr>
      <t>近段空肠位于右中腹，回盲部位置似偏高。中肠旋转不良？建议钡剂灌肠检查。</t>
    </r>
  </si>
  <si>
    <t>2015-10-16</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</si>
  <si>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小肠：十二指肠空肠曲似呈</t>
    </r>
    <r>
      <rPr>
        <sz val="9"/>
        <rFont val="Arial"/>
        <charset val="1"/>
      </rPr>
      <t>"</t>
    </r>
    <r>
      <rPr>
        <sz val="9"/>
        <rFont val="Noto Sans CJK SC"/>
        <charset val="134"/>
      </rPr>
      <t>螺旋状</t>
    </r>
    <r>
      <rPr>
        <sz val="9"/>
        <rFont val="Arial"/>
        <charset val="1"/>
      </rPr>
      <t>"</t>
    </r>
    <r>
      <rPr>
        <sz val="9"/>
        <rFont val="Noto Sans CJK SC"/>
        <charset val="134"/>
      </rPr>
      <t xml:space="preserve">改变，对比剂通过尚顺畅，上组空肠位于中下腹。余各组小肠显示通畅，未见梗阻及扩张。
</t>
    </r>
    <r>
      <rPr>
        <sz val="9"/>
        <rFont val="Arial"/>
        <charset val="1"/>
      </rPr>
      <t>2</t>
    </r>
    <r>
      <rPr>
        <sz val="9"/>
        <rFont val="Noto Sans CJK SC"/>
        <charset val="134"/>
      </rPr>
      <t>小时后复查，对比剂已达部分结肠，结肠框显示不清。</t>
    </r>
  </si>
  <si>
    <t>中肠旋转不良可能，建议钡剂灌肠等检查目明确诊断。</t>
  </si>
  <si>
    <t>2021-05-10</t>
  </si>
  <si>
    <r>
      <rPr>
        <sz val="9"/>
        <rFont val="Noto Sans CJK SC"/>
        <charset val="134"/>
      </rPr>
      <t>肝脾胰及双肾实质未见异常密度灶，大小形态未见异常。胆囊可见显示</t>
    </r>
    <r>
      <rPr>
        <sz val="9"/>
        <rFont val="Arial"/>
        <charset val="1"/>
      </rPr>
      <t>,</t>
    </r>
    <r>
      <rPr>
        <sz val="9"/>
        <rFont val="Noto Sans CJK SC"/>
        <charset val="134"/>
      </rPr>
      <t>内未见高密度灶。肝内外胆管无扩张。胃及十二指肠扩张积气、积液。中腹部可见“漩涡征”。肠系膜水肿，肠系膜淋巴结增多、增大，较大者截面大小约</t>
    </r>
    <r>
      <rPr>
        <sz val="9"/>
        <rFont val="Arial"/>
        <charset val="1"/>
      </rPr>
      <t>14mm×12mm</t>
    </r>
    <r>
      <rPr>
        <sz val="9"/>
        <rFont val="Noto Sans CJK SC"/>
        <charset val="134"/>
      </rPr>
      <t>，腹腔及腹膜后未见明显异常肿块影。盆腔见小片状低密度积液影。增强扫描，腹部大血管及肠系膜动静脉可见强化。肠系膜动静脉周围可见旋转的肠管及肠系膜环绕。腹部实质器官及腹膜后未见异常强化肿块影。</t>
    </r>
  </si>
  <si>
    <t>肠旋转不良伴中肠扭转多考虑；肠系膜水肿，肠系膜淋巴结增多、增大；胃及十二指肠扩张积气、积液；盆腔少许积液；请结合临床。</t>
  </si>
  <si>
    <r>
      <rPr>
        <sz val="9"/>
        <rFont val="Noto Sans CJK SC"/>
        <charset val="134"/>
      </rPr>
      <t>消化道碘水造影：
食管：边缘光滑，对比剂通过顺利</t>
    </r>
    <r>
      <rPr>
        <sz val="9"/>
        <rFont val="Arial"/>
        <charset val="1"/>
      </rPr>
      <t xml:space="preserve">;
</t>
    </r>
    <r>
      <rPr>
        <sz val="9"/>
        <rFont val="Noto Sans CJK SC"/>
        <charset val="134"/>
      </rPr>
      <t>胃：胃呈水平位，贲门位置正常，幽门管开口偏向后下方，其开放正常</t>
    </r>
    <r>
      <rPr>
        <sz val="9"/>
        <rFont val="Arial"/>
        <charset val="1"/>
      </rPr>
      <t xml:space="preserve">;
</t>
    </r>
    <r>
      <rPr>
        <sz val="9"/>
        <rFont val="Noto Sans CJK SC"/>
        <charset val="134"/>
      </rPr>
      <t>小肠：十二指肠圈形态正常，</t>
    </r>
    <r>
      <rPr>
        <sz val="9"/>
        <rFont val="Arial"/>
        <charset val="1"/>
      </rPr>
      <t>2-6</t>
    </r>
    <r>
      <rPr>
        <sz val="9"/>
        <rFont val="Noto Sans CJK SC"/>
        <charset val="134"/>
      </rPr>
      <t xml:space="preserve">组小肠分布走行正常，显示通畅，未见梗阻及扩张。
</t>
    </r>
    <r>
      <rPr>
        <sz val="9"/>
        <rFont val="Arial"/>
        <charset val="1"/>
      </rPr>
      <t>2</t>
    </r>
    <r>
      <rPr>
        <sz val="9"/>
        <rFont val="Noto Sans CJK SC"/>
        <charset val="134"/>
      </rPr>
      <t>小时后复查，对比剂已达结肠。</t>
    </r>
  </si>
  <si>
    <t>可复性胃翻转。</t>
  </si>
  <si>
    <r>
      <rPr>
        <sz val="9"/>
        <rFont val="Noto Sans CJK SC"/>
        <charset val="134"/>
      </rPr>
      <t xml:space="preserve">距手术 </t>
    </r>
    <r>
      <rPr>
        <sz val="9"/>
        <rFont val="Arial"/>
        <charset val="1"/>
      </rPr>
      <t xml:space="preserve">8 </t>
    </r>
    <r>
      <rPr>
        <sz val="9"/>
        <rFont val="Noto Sans CJK SC"/>
        <charset val="134"/>
      </rPr>
      <t>天</t>
    </r>
  </si>
  <si>
    <r>
      <rPr>
        <sz val="9"/>
        <rFont val="Noto Sans CJK SC"/>
        <charset val="134"/>
      </rPr>
      <t>片</t>
    </r>
    <r>
      <rPr>
        <sz val="9"/>
        <rFont val="Arial"/>
        <charset val="1"/>
      </rPr>
      <t xml:space="preserve">1-4  </t>
    </r>
    <r>
      <rPr>
        <sz val="9"/>
        <rFont val="Noto Sans CJK SC"/>
        <charset val="134"/>
      </rPr>
      <t>上消化道碘水造影：
食管：边缘光滑，对比剂通过顺利</t>
    </r>
    <r>
      <rPr>
        <sz val="9"/>
        <rFont val="Arial"/>
        <charset val="1"/>
      </rPr>
      <t xml:space="preserve">;
</t>
    </r>
    <r>
      <rPr>
        <sz val="9"/>
        <rFont val="Noto Sans CJK SC"/>
        <charset val="134"/>
      </rPr>
      <t>胃：胃呈水平位，贲门位置正常，</t>
    </r>
    <r>
      <rPr>
        <sz val="9"/>
        <rFont val="Arial"/>
        <charset val="1"/>
      </rPr>
      <t>His</t>
    </r>
    <r>
      <rPr>
        <sz val="9"/>
        <rFont val="Noto Sans CJK SC"/>
        <charset val="134"/>
      </rPr>
      <t>角增大，可见胃食管返流，幽门开放正常</t>
    </r>
    <r>
      <rPr>
        <sz val="9"/>
        <rFont val="Arial"/>
        <charset val="1"/>
      </rPr>
      <t xml:space="preserve">;
</t>
    </r>
    <r>
      <rPr>
        <sz val="9"/>
        <rFont val="Noto Sans CJK SC"/>
        <charset val="134"/>
      </rPr>
      <t>小肠：空肠位于中右腹。各组小肠显示通畅，未见梗阻及扩张。
约</t>
    </r>
    <r>
      <rPr>
        <sz val="9"/>
        <rFont val="Arial"/>
        <charset val="1"/>
      </rPr>
      <t>4.5</t>
    </r>
    <r>
      <rPr>
        <sz val="9"/>
        <rFont val="Noto Sans CJK SC"/>
        <charset val="134"/>
      </rPr>
      <t>小时后复查，对比剂已达直肠。降结肠僵直。</t>
    </r>
  </si>
  <si>
    <t>胃食管返流。
空肠位于中右腹，建议结合临床。</t>
  </si>
  <si>
    <t>2017-12-05</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</si>
  <si>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小肠：十二指肠空肠曲呈不典型</t>
    </r>
    <r>
      <rPr>
        <sz val="9"/>
        <rFont val="Arial"/>
        <charset val="1"/>
      </rPr>
      <t>"</t>
    </r>
    <r>
      <rPr>
        <sz val="9"/>
        <rFont val="Noto Sans CJK SC"/>
        <charset val="134"/>
      </rPr>
      <t>螺旋状</t>
    </r>
    <r>
      <rPr>
        <sz val="9"/>
        <rFont val="Arial"/>
        <charset val="1"/>
      </rPr>
      <t>"</t>
    </r>
    <r>
      <rPr>
        <sz val="9"/>
        <rFont val="Noto Sans CJK SC"/>
        <charset val="134"/>
      </rPr>
      <t xml:space="preserve">改变，对比剂通过尚可，上组空肠位于中腹部。各组小肠显示通畅，未见梗阻及扩张。
</t>
    </r>
    <r>
      <rPr>
        <sz val="9"/>
        <rFont val="Arial"/>
        <charset val="1"/>
      </rPr>
      <t>6</t>
    </r>
    <r>
      <rPr>
        <sz val="9"/>
        <rFont val="Noto Sans CJK SC"/>
        <charset val="134"/>
      </rPr>
      <t>小时后复查，对比剂已达直肠，回盲部位置显示不清。</t>
    </r>
  </si>
  <si>
    <t>中肠旋转不良？请结合临床。</t>
  </si>
  <si>
    <t>2013-05-02</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</si>
  <si>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 xml:space="preserve">小肠：十二指肠圈显示欠佳，对比剂通过显示不畅，上组空肠位于右中下腹。余各组小肠显示通畅，未见梗阻及扩张。
</t>
    </r>
    <r>
      <rPr>
        <sz val="9"/>
        <rFont val="Arial"/>
        <charset val="1"/>
      </rPr>
      <t>2</t>
    </r>
    <r>
      <rPr>
        <sz val="9"/>
        <rFont val="Noto Sans CJK SC"/>
        <charset val="134"/>
      </rPr>
      <t>小时后复查，对比剂已达直肠，结肠圈形态异常，似见回盲部位于左中腹。</t>
    </r>
  </si>
  <si>
    <t>中肠旋转不良首先考虑。建议进一步检查。</t>
  </si>
  <si>
    <t>2016-08-04</t>
  </si>
  <si>
    <r>
      <rPr>
        <sz val="9"/>
        <rFont val="Noto Sans CJK SC"/>
        <charset val="134"/>
      </rPr>
      <t>片</t>
    </r>
    <r>
      <rPr>
        <sz val="9"/>
        <rFont val="Arial"/>
        <charset val="1"/>
      </rPr>
      <t xml:space="preserve">1-4  </t>
    </r>
    <r>
      <rPr>
        <sz val="9"/>
        <rFont val="Noto Sans CJK SC"/>
        <charset val="134"/>
      </rPr>
      <t>上消化道碘水造影：
食管：边缘光滑，对比剂通过顺利；
胃：呈</t>
    </r>
    <r>
      <rPr>
        <sz val="9"/>
        <rFont val="Arial"/>
        <charset val="1"/>
      </rPr>
      <t>"</t>
    </r>
    <r>
      <rPr>
        <sz val="9"/>
        <rFont val="Noto Sans CJK SC"/>
        <charset val="134"/>
      </rPr>
      <t>钩</t>
    </r>
    <r>
      <rPr>
        <sz val="9"/>
        <rFont val="Arial"/>
        <charset val="1"/>
      </rPr>
      <t>"</t>
    </r>
    <r>
      <rPr>
        <sz val="9"/>
        <rFont val="Noto Sans CJK SC"/>
        <charset val="134"/>
      </rPr>
      <t>型，张力中等，粘膜规则，壁光整，幽门开放正常；
十二指肠：形态正常，各段通畅，未见明显梗阻及扩张。上段空肠位于右中腹部。</t>
    </r>
  </si>
  <si>
    <t>空肠位于右腹部，中肠旋转不良可以考虑。</t>
  </si>
  <si>
    <t>2015-04-16</t>
  </si>
  <si>
    <r>
      <rPr>
        <sz val="9"/>
        <rFont val="Noto Sans CJK SC"/>
        <charset val="134"/>
      </rPr>
      <t>肝脏形状体积正常，其内密度较均匀，未见明显肿块影；肝内胆管未见明显扩张征象。胆总管增宽，直径约</t>
    </r>
    <r>
      <rPr>
        <sz val="9"/>
        <rFont val="Arial"/>
        <charset val="1"/>
      </rPr>
      <t>11mm</t>
    </r>
    <r>
      <rPr>
        <sz val="9"/>
        <rFont val="Noto Sans CJK SC"/>
        <charset val="134"/>
      </rPr>
      <t>，胆囊大，壁稍厚。脾脏及双肾位置、大小、形态及密度未见明显异常改变。胰腺未见明显异常。腹腔内肠管未见明显扩张积液积气，腹腔内未见明显积液。腹膜后未见明显占位征象。增强扫描：胆囊壁轻度强化。腹腔内实质脏器未见异常强化影。</t>
    </r>
  </si>
  <si>
    <t>胆总管扩张，胆囊壁稍厚；请结合临床。</t>
  </si>
  <si>
    <r>
      <rPr>
        <sz val="9"/>
        <rFont val="Noto Sans CJK SC"/>
        <charset val="134"/>
      </rPr>
      <t>片</t>
    </r>
    <r>
      <rPr>
        <sz val="9"/>
        <rFont val="Arial"/>
        <charset val="1"/>
      </rPr>
      <t xml:space="preserve">1-6  </t>
    </r>
    <r>
      <rPr>
        <sz val="9"/>
        <rFont val="Noto Sans CJK SC"/>
        <charset val="134"/>
      </rPr>
      <t>消化道碘水造影：
    食管：边缘光滑，对比剂通过顺利</t>
    </r>
    <r>
      <rPr>
        <sz val="9"/>
        <rFont val="Arial"/>
        <charset val="1"/>
      </rPr>
      <t xml:space="preserve">;
    </t>
    </r>
    <r>
      <rPr>
        <sz val="9"/>
        <rFont val="Noto Sans CJK SC"/>
        <charset val="134"/>
      </rPr>
      <t>胃：形态位置正常，壁光整，幽门开放正常</t>
    </r>
    <r>
      <rPr>
        <sz val="9"/>
        <rFont val="Arial"/>
        <charset val="1"/>
      </rPr>
      <t xml:space="preserve">;
    </t>
    </r>
    <r>
      <rPr>
        <sz val="9"/>
        <rFont val="Noto Sans CJK SC"/>
        <charset val="134"/>
      </rPr>
      <t>小肠：十二指肠圈形态正常，</t>
    </r>
    <r>
      <rPr>
        <sz val="9"/>
        <rFont val="Arial"/>
        <charset val="1"/>
      </rPr>
      <t>2-6</t>
    </r>
    <r>
      <rPr>
        <sz val="9"/>
        <rFont val="Noto Sans CJK SC"/>
        <charset val="134"/>
      </rPr>
      <t xml:space="preserve">组小肠分布走行正常，显示通畅，未见梗阻及扩张。
    </t>
    </r>
    <r>
      <rPr>
        <sz val="9"/>
        <rFont val="Arial"/>
        <charset val="1"/>
      </rPr>
      <t>2</t>
    </r>
    <r>
      <rPr>
        <sz val="9"/>
        <rFont val="Noto Sans CJK SC"/>
        <charset val="134"/>
      </rPr>
      <t>小时后复查，对比剂已达结肠。</t>
    </r>
  </si>
  <si>
    <t>胃及小肠系统未见明显器质性病变。</t>
  </si>
  <si>
    <r>
      <rPr>
        <sz val="9"/>
        <rFont val="Noto Sans CJK SC"/>
        <charset val="134"/>
      </rPr>
      <t xml:space="preserve">距手术 </t>
    </r>
    <r>
      <rPr>
        <sz val="9"/>
        <rFont val="Arial"/>
        <charset val="1"/>
      </rPr>
      <t xml:space="preserve">7 </t>
    </r>
    <r>
      <rPr>
        <sz val="9"/>
        <rFont val="Noto Sans CJK SC"/>
        <charset val="134"/>
      </rPr>
      <t>天</t>
    </r>
  </si>
  <si>
    <t>2020-08-12</t>
  </si>
  <si>
    <r>
      <rPr>
        <sz val="9"/>
        <rFont val="Noto Sans CJK SC"/>
        <charset val="134"/>
      </rPr>
      <t xml:space="preserve">腹腔内可见较多肠气强反射回声，未见明显局限性肿块图像及积液征。
</t>
    </r>
    <r>
      <rPr>
        <sz val="9"/>
        <rFont val="Arial"/>
        <charset val="1"/>
      </rPr>
      <t>CDFI:</t>
    </r>
    <r>
      <rPr>
        <sz val="9"/>
        <rFont val="Noto Sans CJK SC"/>
        <charset val="134"/>
      </rPr>
      <t>上述部位未见异常血流信号。</t>
    </r>
  </si>
  <si>
    <t>目前腹腔内未见明显异常。</t>
  </si>
  <si>
    <r>
      <rPr>
        <sz val="9"/>
        <rFont val="Noto Sans CJK SC"/>
        <charset val="134"/>
      </rPr>
      <t>肝脏形状体积正常，其内密度较均匀，未见明显肿块影；肝内胆管未见明显扩张征象。胆囊可见显示。脾脏及双肾位置、大小、形态及密度未见明显异常改变。胰腺未见明显异常。腹腔内小肠管呈团状位于右侧腹腔</t>
    </r>
    <r>
      <rPr>
        <sz val="9"/>
        <rFont val="Arial"/>
        <charset val="1"/>
      </rPr>
      <t>,</t>
    </r>
    <r>
      <rPr>
        <sz val="9"/>
        <rFont val="Noto Sans CJK SC"/>
        <charset val="134"/>
      </rPr>
      <t>腹腔内未见明显积液。腹膜后未见明显占位征象。</t>
    </r>
  </si>
  <si>
    <r>
      <rPr>
        <sz val="9"/>
        <rFont val="Noto Sans CJK SC"/>
        <charset val="134"/>
      </rPr>
      <t>腹腔内小肠管呈团状位于右侧腹腔</t>
    </r>
    <r>
      <rPr>
        <sz val="9"/>
        <rFont val="Arial"/>
        <charset val="1"/>
      </rPr>
      <t>,</t>
    </r>
    <r>
      <rPr>
        <sz val="9"/>
        <rFont val="Noto Sans CJK SC"/>
        <charset val="134"/>
      </rPr>
      <t>请结合临床进一步检查。</t>
    </r>
  </si>
  <si>
    <t>报告名称</t>
  </si>
  <si>
    <t>检查所见（同日多份报告已合并）</t>
  </si>
  <si>
    <r>
      <rPr>
        <b/>
        <sz val="10"/>
        <color rgb="FFFFFFFF"/>
        <rFont val="Noto Sans CJK SC"/>
        <charset val="134"/>
      </rPr>
      <t>十二指肠第三段（水平部</t>
    </r>
    <r>
      <rPr>
        <b/>
        <sz val="10"/>
        <color rgb="FFFFFFFF"/>
        <rFont val="Arial"/>
        <charset val="1"/>
      </rPr>
      <t>/</t>
    </r>
    <r>
      <rPr>
        <b/>
        <sz val="10"/>
        <color rgb="FFFFFFFF"/>
        <rFont val="Noto Sans CJK SC"/>
        <charset val="134"/>
      </rPr>
      <t>横部）</t>
    </r>
  </si>
  <si>
    <t>十二指肠空肠交界（屈氏韧带）</t>
  </si>
  <si>
    <t>提及十二指肠（任何形式）</t>
  </si>
  <si>
    <t>肠系膜上动、静脉位置关系</t>
  </si>
  <si>
    <r>
      <t>明确写出动静脉换位</t>
    </r>
    <r>
      <rPr>
        <b/>
        <sz val="10"/>
        <color rgb="FFFFFFFF"/>
        <rFont val="Arial"/>
        <charset val="134"/>
      </rPr>
      <t>/</t>
    </r>
    <r>
      <rPr>
        <b/>
        <sz val="10"/>
        <color rgb="FFFFFFFF"/>
        <rFont val="Noto Sans CJK SC"/>
        <charset val="134"/>
      </rPr>
      <t>倒置</t>
    </r>
  </si>
  <si>
    <t>写明检查前给液（口服或胃管注入）</t>
  </si>
  <si>
    <t>动态观察</t>
  </si>
  <si>
    <t>加压或逐级加压</t>
  </si>
  <si>
    <t>回盲部位置</t>
  </si>
  <si>
    <t>使用彩色多普勒</t>
  </si>
  <si>
    <t>漩涡征（阳性描述，未被否定）</t>
  </si>
  <si>
    <t>肠气干扰显示（明确写出）</t>
  </si>
  <si>
    <t>备注</t>
  </si>
  <si>
    <r>
      <rPr>
        <sz val="9"/>
        <rFont val="Noto Sans CJK SC"/>
        <charset val="134"/>
      </rPr>
      <t>胃腔及部分十二指肠扩张，其内积液、积气，似呈</t>
    </r>
    <r>
      <rPr>
        <sz val="9"/>
        <rFont val="Arial"/>
        <charset val="1"/>
      </rPr>
      <t>"</t>
    </r>
    <r>
      <rPr>
        <sz val="9"/>
        <rFont val="Noto Sans CJK SC"/>
        <charset val="134"/>
      </rPr>
      <t>双泡征</t>
    </r>
    <r>
      <rPr>
        <sz val="9"/>
        <rFont val="Arial"/>
        <charset val="1"/>
      </rPr>
      <t>"</t>
    </r>
    <r>
      <rPr>
        <sz val="9"/>
        <rFont val="Noto Sans CJK SC"/>
        <charset val="134"/>
      </rPr>
      <t>，余腹未见明显局限性肿块图像及积液征。
肝脏切面形态正常，肝内光点分布均匀，血管走向清晰，肝右肋下</t>
    </r>
    <r>
      <rPr>
        <sz val="9"/>
        <rFont val="Arial"/>
        <charset val="1"/>
      </rPr>
      <t>1.3cm</t>
    </r>
    <r>
      <rPr>
        <sz val="9"/>
        <rFont val="Noto Sans CJK SC"/>
        <charset val="134"/>
      </rPr>
      <t>。
脾脏切面形态正常，左肋下</t>
    </r>
    <r>
      <rPr>
        <sz val="9"/>
        <rFont val="Arial"/>
        <charset val="1"/>
      </rPr>
      <t>0cm</t>
    </r>
    <r>
      <rPr>
        <sz val="9"/>
        <rFont val="Noto Sans CJK SC"/>
        <charset val="134"/>
      </rPr>
      <t>，厚</t>
    </r>
    <r>
      <rPr>
        <sz val="9"/>
        <rFont val="Arial"/>
        <charset val="1"/>
      </rPr>
      <t>1.0cm</t>
    </r>
    <r>
      <rPr>
        <sz val="9"/>
        <rFont val="Noto Sans CJK SC"/>
        <charset val="134"/>
      </rPr>
      <t>。
双肾切面形态正常，左肾：</t>
    </r>
    <r>
      <rPr>
        <sz val="9"/>
        <rFont val="Arial"/>
        <charset val="1"/>
      </rPr>
      <t>4.1cm×2.0cmm</t>
    </r>
    <r>
      <rPr>
        <sz val="9"/>
        <rFont val="Noto Sans CJK SC"/>
        <charset val="134"/>
      </rPr>
      <t>，右肾：</t>
    </r>
    <r>
      <rPr>
        <sz val="9"/>
        <rFont val="Arial"/>
        <charset val="1"/>
      </rPr>
      <t>4.1cm×1.9cmm</t>
    </r>
    <r>
      <rPr>
        <sz val="9"/>
        <rFont val="Noto Sans CJK SC"/>
        <charset val="134"/>
      </rPr>
      <t xml:space="preserve">，集合系统光点群未见明显分离，肾实质内未见明显异常回声。
</t>
    </r>
    <r>
      <rPr>
        <sz val="9"/>
        <rFont val="Arial"/>
        <charset val="1"/>
      </rPr>
      <t>CDFI:</t>
    </r>
    <r>
      <rPr>
        <sz val="9"/>
        <rFont val="Noto Sans CJK SC"/>
        <charset val="134"/>
      </rPr>
      <t>患儿哭闹，上述部位血流信号杂乱。</t>
    </r>
  </si>
  <si>
    <r>
      <rPr>
        <sz val="9"/>
        <rFont val="Noto Sans CJK SC"/>
        <charset val="134"/>
      </rPr>
      <t>胃腔及部分十二指肠扩张，建议进一步检查排除十二指肠狭窄或闭锁。
肝右肋下</t>
    </r>
    <r>
      <rPr>
        <sz val="9"/>
        <rFont val="Arial"/>
        <charset val="1"/>
      </rPr>
      <t xml:space="preserve">1.0cm
</t>
    </r>
    <r>
      <rPr>
        <sz val="9"/>
        <rFont val="Noto Sans CJK SC"/>
        <charset val="134"/>
      </rPr>
      <t>脾脏未见明显异常。
双肾未见明显异常。</t>
    </r>
  </si>
  <si>
    <t>否</t>
  </si>
  <si>
    <t>是</t>
  </si>
  <si>
    <r>
      <rPr>
        <sz val="9"/>
        <rFont val="Noto Sans CJK SC"/>
        <charset val="134"/>
      </rPr>
      <t>中腹部可见一最大约</t>
    </r>
    <r>
      <rPr>
        <sz val="9"/>
        <rFont val="Arial"/>
        <charset val="1"/>
      </rPr>
      <t>2.9cm×2.0cm×2.6cm</t>
    </r>
    <r>
      <rPr>
        <sz val="9"/>
        <rFont val="Noto Sans CJK SC"/>
        <charset val="134"/>
      </rPr>
      <t xml:space="preserve">的光团回声，边界尚清晰，内部回声呈强弱相间的漩涡状回声、可见肠系膜上静脉围绕肠系膜上动脉旋转，上下移动探头探查旋转感明显。
</t>
    </r>
    <r>
      <rPr>
        <sz val="9"/>
        <rFont val="Arial"/>
        <charset val="1"/>
      </rPr>
      <t>CDFI:</t>
    </r>
    <r>
      <rPr>
        <sz val="9"/>
        <rFont val="Noto Sans CJK SC"/>
        <charset val="134"/>
      </rPr>
      <t>上述部位血流信号呈螺旋状。</t>
    </r>
  </si>
  <si>
    <t>先天性肠旋转不良合并中肠扭转</t>
  </si>
  <si>
    <r>
      <rPr>
        <sz val="9"/>
        <rFont val="Noto Sans CJK SC"/>
        <charset val="134"/>
      </rPr>
      <t>肝、脾彩超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</si>
  <si>
    <r>
      <rPr>
        <sz val="9"/>
        <rFont val="Noto Sans CJK SC"/>
        <charset val="134"/>
      </rPr>
      <t>腹主动脉走形规则，肠系膜上动脉走形偏移，中上腹部可见一大小约</t>
    </r>
    <r>
      <rPr>
        <sz val="9"/>
        <rFont val="Arial"/>
        <charset val="1"/>
      </rPr>
      <t>2.2cm×1.5cm</t>
    </r>
    <r>
      <rPr>
        <sz val="9"/>
        <rFont val="Noto Sans CJK SC"/>
        <charset val="134"/>
      </rPr>
      <t xml:space="preserve">的光团回声，边界尚清晰，内部回声呈强弱相间的漩涡状回声，内见扩张的血管环绕。上端肠管及胃内可见液性无回声，并见散在细小强光点回声漂浮移动。余腹可见较多气体回声。
</t>
    </r>
    <r>
      <rPr>
        <sz val="9"/>
        <rFont val="Arial"/>
        <charset val="1"/>
      </rPr>
      <t>CDFI</t>
    </r>
    <r>
      <rPr>
        <sz val="9"/>
        <rFont val="Noto Sans CJK SC"/>
        <charset val="134"/>
      </rPr>
      <t>：上述光团内见漩涡环绕的动静脉血流信号。
肝脏切面形态正常，肝内光点分布均匀，血管走向清晰，肝右肋下</t>
    </r>
    <r>
      <rPr>
        <sz val="9"/>
        <rFont val="Arial"/>
        <charset val="1"/>
      </rPr>
      <t>0cm</t>
    </r>
    <r>
      <rPr>
        <sz val="9"/>
        <rFont val="Noto Sans CJK SC"/>
        <charset val="134"/>
      </rPr>
      <t>。肝内胆管未见明显扩张，胆总管内径约</t>
    </r>
    <r>
      <rPr>
        <sz val="9"/>
        <rFont val="Arial"/>
        <charset val="1"/>
      </rPr>
      <t>0.18cm</t>
    </r>
    <r>
      <rPr>
        <sz val="9"/>
        <rFont val="Noto Sans CJK SC"/>
        <charset val="134"/>
      </rPr>
      <t>。
脾脏切面形态正常，左肋下</t>
    </r>
    <r>
      <rPr>
        <sz val="9"/>
        <rFont val="Arial"/>
        <charset val="1"/>
      </rPr>
      <t>0cm</t>
    </r>
    <r>
      <rPr>
        <sz val="9"/>
        <rFont val="Noto Sans CJK SC"/>
        <charset val="134"/>
      </rPr>
      <t>，厚</t>
    </r>
    <r>
      <rPr>
        <sz val="9"/>
        <rFont val="Arial"/>
        <charset val="1"/>
      </rPr>
      <t>0.9cm</t>
    </r>
    <r>
      <rPr>
        <sz val="9"/>
        <rFont val="Noto Sans CJK SC"/>
        <charset val="134"/>
      </rPr>
      <t xml:space="preserve">。
</t>
    </r>
    <r>
      <rPr>
        <sz val="9"/>
        <rFont val="Arial"/>
        <charset val="1"/>
      </rPr>
      <t>CDFI:</t>
    </r>
    <r>
      <rPr>
        <sz val="9"/>
        <rFont val="Noto Sans CJK SC"/>
        <charset val="134"/>
      </rPr>
      <t>上述部位未见异常血流信号。
左肾肾盂轻度分离，其分离前后径约</t>
    </r>
    <r>
      <rPr>
        <sz val="9"/>
        <rFont val="Arial"/>
        <charset val="1"/>
      </rPr>
      <t>0.6cm</t>
    </r>
    <r>
      <rPr>
        <sz val="9"/>
        <rFont val="Noto Sans CJK SC"/>
        <charset val="134"/>
      </rPr>
      <t>。</t>
    </r>
  </si>
  <si>
    <r>
      <rPr>
        <sz val="9"/>
        <rFont val="Noto Sans CJK SC"/>
        <charset val="134"/>
      </rPr>
      <t>中上腹部异常光团回声：考虑肠旋转不良可能。
胆总管内径约</t>
    </r>
    <r>
      <rPr>
        <sz val="9"/>
        <rFont val="Arial"/>
        <charset val="1"/>
      </rPr>
      <t>0.18cm</t>
    </r>
    <r>
      <rPr>
        <sz val="9"/>
        <rFont val="Noto Sans CJK SC"/>
        <charset val="134"/>
      </rPr>
      <t>：请结合临床。
肝脏未见明显异常。
脾脏未见明显异常。</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</si>
  <si>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</si>
  <si>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中上腹部可见一大小约</t>
    </r>
    <r>
      <rPr>
        <sz val="9"/>
        <rFont val="Arial"/>
        <charset val="1"/>
      </rPr>
      <t>2.4cm×2.3cm</t>
    </r>
    <r>
      <rPr>
        <sz val="9"/>
        <rFont val="Noto Sans CJK SC"/>
        <charset val="134"/>
      </rPr>
      <t xml:space="preserve">的低回声光团，边界尚清晰，内部回声呈强弱相间的漩涡状回声，余腹未见明显异常回声。
</t>
    </r>
    <r>
      <rPr>
        <sz val="9"/>
        <rFont val="Arial"/>
        <charset val="1"/>
      </rPr>
      <t>CDFI</t>
    </r>
    <r>
      <rPr>
        <sz val="9"/>
        <rFont val="Noto Sans CJK SC"/>
        <charset val="134"/>
      </rPr>
      <t>：上述光团内似见漩涡环绕的动、静脉血流信号。</t>
    </r>
  </si>
  <si>
    <t>中上腹异常回声：肠旋转不良？</t>
  </si>
  <si>
    <r>
      <rPr>
        <sz val="9"/>
        <rFont val="Noto Sans CJK SC"/>
        <charset val="134"/>
      </rPr>
      <t>腹腔内可见多个片状无回声区，肠管漂浮其中，较大一前后径为</t>
    </r>
    <r>
      <rPr>
        <sz val="9"/>
        <rFont val="Arial"/>
        <charset val="1"/>
      </rPr>
      <t>1.2cm</t>
    </r>
    <r>
      <rPr>
        <sz val="9"/>
        <rFont val="Noto Sans CJK SC"/>
        <charset val="134"/>
      </rPr>
      <t xml:space="preserve">，余腹未见明显异常回声。
</t>
    </r>
    <r>
      <rPr>
        <sz val="9"/>
        <rFont val="Arial"/>
        <charset val="1"/>
      </rPr>
      <t>CDFI:</t>
    </r>
    <r>
      <rPr>
        <sz val="9"/>
        <rFont val="Noto Sans CJK SC"/>
        <charset val="134"/>
      </rPr>
      <t>上述无回声区内未见血流信号。</t>
    </r>
  </si>
  <si>
    <t>腹腔少量积液。</t>
  </si>
  <si>
    <r>
      <rPr>
        <sz val="9"/>
        <rFont val="Noto Sans CJK SC"/>
        <charset val="134"/>
      </rPr>
      <t>中上腹可见较多肠气强反射回声，加压探头可见一大小约</t>
    </r>
    <r>
      <rPr>
        <sz val="9"/>
        <rFont val="Arial"/>
        <charset val="1"/>
      </rPr>
      <t>1.2cm×1.0cm</t>
    </r>
    <r>
      <rPr>
        <sz val="9"/>
        <rFont val="Noto Sans CJK SC"/>
        <charset val="134"/>
      </rPr>
      <t xml:space="preserve">的低回声光团，边界尚清晰，内部回声似呈强弱相间的漩涡状回声，内可见血管显示。余腹膜后大血管旁及其间隙内未见明显局限性肿块图像。
</t>
    </r>
    <r>
      <rPr>
        <sz val="9"/>
        <rFont val="Arial"/>
        <charset val="1"/>
      </rPr>
      <t>CDFI</t>
    </r>
    <r>
      <rPr>
        <sz val="9"/>
        <rFont val="Noto Sans CJK SC"/>
        <charset val="134"/>
      </rPr>
      <t>：患儿哭闹，上述光团内漩涡环绕状血流信号不明显。</t>
    </r>
  </si>
  <si>
    <t>中上腹部低回声：肠旋转不良？建议进一步检查。
肠积气。</t>
  </si>
  <si>
    <r>
      <rPr>
        <sz val="9"/>
        <rFont val="Noto Sans CJK SC"/>
        <charset val="134"/>
      </rPr>
      <t>口服造影剂</t>
    </r>
    <r>
      <rPr>
        <sz val="9"/>
        <rFont val="Arial"/>
        <charset val="1"/>
      </rPr>
      <t>240ml</t>
    </r>
    <r>
      <rPr>
        <sz val="9"/>
        <rFont val="Noto Sans CJK SC"/>
        <charset val="134"/>
      </rPr>
      <t>后充盈扫查：
于胃窦部见胃壁呈轻度增厚，厚约</t>
    </r>
    <r>
      <rPr>
        <sz val="9"/>
        <rFont val="Arial"/>
        <charset val="1"/>
      </rPr>
      <t>0.40cm-0.45cm</t>
    </r>
    <r>
      <rPr>
        <sz val="9"/>
        <rFont val="Noto Sans CJK SC"/>
        <charset val="134"/>
      </rPr>
      <t>，回声减低，层次尚清晰，粘膜较粗大，胃窦腔充盈可，胃壁蠕动正常（约</t>
    </r>
    <r>
      <rPr>
        <sz val="9"/>
        <rFont val="Arial"/>
        <charset val="1"/>
      </rPr>
      <t>4-5</t>
    </r>
    <r>
      <rPr>
        <sz val="9"/>
        <rFont val="Noto Sans CJK SC"/>
        <charset val="134"/>
      </rPr>
      <t>次</t>
    </r>
    <r>
      <rPr>
        <sz val="9"/>
        <rFont val="Arial"/>
        <charset val="1"/>
      </rPr>
      <t>/min</t>
    </r>
    <r>
      <rPr>
        <sz val="9"/>
        <rFont val="Noto Sans CJK SC"/>
        <charset val="134"/>
      </rPr>
      <t>），胃幽门管开放可；十二指肠球部充盈无殊。胃窦腔和十二指肠球部之间有少量反流。十二指肠降部走行可，横部走行于肠系膜上动脉前方，略呈螺旋状走行。</t>
    </r>
  </si>
  <si>
    <t>胃窦胃炎，胃窦腔和十二指肠球部之间少量反流。
肠旋转不良多考虑。</t>
  </si>
  <si>
    <t>第11项判“否”，原句：“横部走行于肠系膜上动脉前方，略呈螺旋状走行”（十二指肠螺旋状走行，未涉及肠系膜血管）</t>
  </si>
  <si>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t>
    </r>
    <r>
      <rPr>
        <sz val="9"/>
        <rFont val="Arial"/>
        <charset val="1"/>
      </rPr>
      <t>,</t>
    </r>
    <r>
      <rPr>
        <sz val="9"/>
        <rFont val="Noto Sans CJK SC"/>
        <charset val="134"/>
      </rPr>
      <t>腹部大血管彩</t>
    </r>
    <r>
      <rPr>
        <sz val="9"/>
        <rFont val="Arial"/>
        <charset val="1"/>
      </rPr>
      <t>?</t>
    </r>
  </si>
  <si>
    <r>
      <rPr>
        <sz val="9"/>
        <rFont val="Noto Sans CJK SC"/>
        <charset val="134"/>
      </rPr>
      <t>中上腹部可见一大小约</t>
    </r>
    <r>
      <rPr>
        <sz val="9"/>
        <rFont val="Arial"/>
        <charset val="1"/>
      </rPr>
      <t>3.5cm×1.8cm</t>
    </r>
    <r>
      <rPr>
        <sz val="9"/>
        <rFont val="Noto Sans CJK SC"/>
        <charset val="134"/>
      </rPr>
      <t>的光团回声，边界尚清晰，内部回声呈强弱相间的漩涡状回声，内见扩张的血管环绕。余腹可见较多的气体反射回声。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0.8cm</t>
    </r>
    <r>
      <rPr>
        <sz val="9"/>
        <rFont val="Noto Sans CJK SC"/>
        <charset val="134"/>
      </rPr>
      <t xml:space="preserve">。
双肾切面形态正常，集合系统光点群未见明显分离，肾实质内未见明显异常回声。
腹膜后大血管旁及其间隙内因气体干扰，部分切面显示不清，所示切面未见明显局限性肿块图像。
</t>
    </r>
    <r>
      <rPr>
        <sz val="9"/>
        <rFont val="Arial"/>
        <charset val="1"/>
      </rPr>
      <t>CDFI</t>
    </r>
    <r>
      <rPr>
        <sz val="9"/>
        <rFont val="Noto Sans CJK SC"/>
        <charset val="134"/>
      </rPr>
      <t>：上述光团内见漩涡环绕的动静脉血流信号，余上述部位未见明显异常血流信号。</t>
    </r>
  </si>
  <si>
    <t>中上腹部异常光团回声（肠旋转不良可能）
肝脏未见明显异常。
脾脏未见明显异常。
双肾未见明显异常。
腹膜后未见明显异常。</t>
  </si>
  <si>
    <r>
      <rPr>
        <sz val="9"/>
        <rFont val="Noto Sans CJK SC"/>
        <charset val="134"/>
      </rPr>
      <t>中上腹可见一直径约</t>
    </r>
    <r>
      <rPr>
        <sz val="9"/>
        <rFont val="Arial"/>
        <charset val="1"/>
      </rPr>
      <t>1.6cm</t>
    </r>
    <r>
      <rPr>
        <sz val="9"/>
        <rFont val="Noto Sans CJK SC"/>
        <charset val="134"/>
      </rPr>
      <t>的类</t>
    </r>
    <r>
      <rPr>
        <sz val="9"/>
        <rFont val="Arial"/>
        <charset val="1"/>
      </rPr>
      <t>"</t>
    </r>
    <r>
      <rPr>
        <sz val="9"/>
        <rFont val="Noto Sans CJK SC"/>
        <charset val="134"/>
      </rPr>
      <t>靶环征</t>
    </r>
    <r>
      <rPr>
        <sz val="9"/>
        <rFont val="Arial"/>
        <charset val="1"/>
      </rPr>
      <t>"</t>
    </r>
    <r>
      <rPr>
        <sz val="9"/>
        <rFont val="Noto Sans CJK SC"/>
        <charset val="134"/>
      </rPr>
      <t>，约旋转</t>
    </r>
    <r>
      <rPr>
        <sz val="9"/>
        <rFont val="Arial"/>
        <charset val="1"/>
      </rPr>
      <t>360-540°</t>
    </r>
    <r>
      <rPr>
        <sz val="9"/>
        <rFont val="Noto Sans CJK SC"/>
        <charset val="134"/>
      </rPr>
      <t xml:space="preserve">，边界尚清晰，内部回声呈强弱相间的漩涡状回声，内见扩张的血管环绕。余腹膜后大血管旁及其间隙内未见明显局限性肿块图像。
</t>
    </r>
    <r>
      <rPr>
        <sz val="9"/>
        <rFont val="Arial"/>
        <charset val="1"/>
      </rPr>
      <t>CDFI</t>
    </r>
    <r>
      <rPr>
        <sz val="9"/>
        <rFont val="Noto Sans CJK SC"/>
        <charset val="134"/>
      </rPr>
      <t>：上述类“靶环征”上似可见漩涡状血流信号。</t>
    </r>
  </si>
  <si>
    <r>
      <rPr>
        <sz val="9"/>
        <rFont val="Noto Sans CJK SC"/>
        <charset val="134"/>
      </rPr>
      <t>腹部气体干扰较多，脐上可见一范围约</t>
    </r>
    <r>
      <rPr>
        <sz val="9"/>
        <rFont val="Arial"/>
        <charset val="1"/>
      </rPr>
      <t>1.8cm×1.5cm</t>
    </r>
    <r>
      <rPr>
        <sz val="9"/>
        <rFont val="Noto Sans CJK SC"/>
        <charset val="134"/>
      </rPr>
      <t xml:space="preserve">的类“靶环征”，腹腔未见积液征，腹膜后大血管旁及其间隙内未见明显局限性肿块图像。
</t>
    </r>
    <r>
      <rPr>
        <sz val="9"/>
        <rFont val="Arial"/>
        <charset val="1"/>
      </rPr>
      <t>CDFI</t>
    </r>
    <r>
      <rPr>
        <sz val="9"/>
        <rFont val="Noto Sans CJK SC"/>
        <charset val="134"/>
      </rPr>
      <t>：上述类“靶环征”上似可见漩涡状血流信号。</t>
    </r>
  </si>
  <si>
    <t>中腹部异常光团回声（肠旋转不良）</t>
  </si>
  <si>
    <r>
      <rPr>
        <sz val="9"/>
        <rFont val="Noto Sans CJK SC"/>
        <charset val="134"/>
      </rPr>
      <t>夜间急诊超声检查：
肠系膜上动脉起源正常，上腹横切面可见肠系膜上静脉位于肠系膜上动脉左前方，未见明显环绕状，此处可见一大小约</t>
    </r>
    <r>
      <rPr>
        <sz val="9"/>
        <rFont val="Arial"/>
        <charset val="1"/>
      </rPr>
      <t>2.1cm×1.3cm</t>
    </r>
    <r>
      <rPr>
        <sz val="9"/>
        <rFont val="Noto Sans CJK SC"/>
        <charset val="134"/>
      </rPr>
      <t xml:space="preserve">的光团回声，边界尚清晰，稍呈“漩涡征”。余腹膜后大血管旁及其间隙内未见明显局限性肿块图像。
</t>
    </r>
    <r>
      <rPr>
        <sz val="9"/>
        <rFont val="Arial"/>
        <charset val="1"/>
      </rPr>
      <t>CDFI</t>
    </r>
    <r>
      <rPr>
        <sz val="9"/>
        <rFont val="Noto Sans CJK SC"/>
        <charset val="134"/>
      </rPr>
      <t>：上述光团可见较杂乱血流信号，未见明显粗大血管环绕征象，余腹膜后未见明显异常血流信号。</t>
    </r>
  </si>
  <si>
    <t>肠系膜上静脉上腹部横切面位置异常并周围异常光团回声：肠旋转不良可能，建议进一步检查。</t>
  </si>
  <si>
    <r>
      <rPr>
        <sz val="9"/>
        <rFont val="Noto Sans CJK SC"/>
        <charset val="134"/>
      </rPr>
      <t>腹腔内可见多个片状无回声区，较大一前后径为</t>
    </r>
    <r>
      <rPr>
        <sz val="9"/>
        <rFont val="Arial"/>
        <charset val="1"/>
      </rPr>
      <t>2.1cm</t>
    </r>
    <r>
      <rPr>
        <sz val="9"/>
        <rFont val="Noto Sans CJK SC"/>
        <charset val="134"/>
      </rPr>
      <t>，部分小肠肠管壁水肿，回声减低，未见明显局限性肿块图像。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xml:space="preserve">。
</t>
    </r>
    <r>
      <rPr>
        <sz val="9"/>
        <rFont val="Arial"/>
        <charset val="1"/>
      </rPr>
      <t>CDFI:</t>
    </r>
    <r>
      <rPr>
        <sz val="9"/>
        <rFont val="Noto Sans CJK SC"/>
        <charset val="134"/>
      </rPr>
      <t>上述部位未见异常血流信号。
双肾切面形态正常，左肾：</t>
    </r>
    <r>
      <rPr>
        <sz val="9"/>
        <rFont val="Arial"/>
        <charset val="1"/>
      </rPr>
      <t>4.5cm×2.2cm</t>
    </r>
    <r>
      <rPr>
        <sz val="9"/>
        <rFont val="Noto Sans CJK SC"/>
        <charset val="134"/>
      </rPr>
      <t>，右肾：</t>
    </r>
    <r>
      <rPr>
        <sz val="9"/>
        <rFont val="Arial"/>
        <charset val="1"/>
      </rPr>
      <t>4.8cm×1.9cm</t>
    </r>
    <r>
      <rPr>
        <sz val="9"/>
        <rFont val="Noto Sans CJK SC"/>
        <charset val="134"/>
      </rPr>
      <t xml:space="preserve">，集合系统光点群未见明显分离，肾实质内未见明显异常回声。
</t>
    </r>
    <r>
      <rPr>
        <sz val="9"/>
        <rFont val="Arial"/>
        <charset val="1"/>
      </rPr>
      <t>CDFI:</t>
    </r>
    <r>
      <rPr>
        <sz val="9"/>
        <rFont val="Noto Sans CJK SC"/>
        <charset val="134"/>
      </rPr>
      <t>患儿哭吵，血流信号杂乱。</t>
    </r>
  </si>
  <si>
    <t>腹腔积液。
部分小肠肠管壁水肿。
肝脏未见明显异常。
脾脏未见明显异常。
双肾未见明显异常。</t>
  </si>
  <si>
    <r>
      <rPr>
        <sz val="9"/>
        <rFont val="Noto Sans CJK SC"/>
        <charset val="134"/>
      </rPr>
      <t>中腹部可见一大小约</t>
    </r>
    <r>
      <rPr>
        <sz val="9"/>
        <rFont val="Arial"/>
        <charset val="1"/>
      </rPr>
      <t>2.0cm×1.9cm</t>
    </r>
    <r>
      <rPr>
        <sz val="9"/>
        <rFont val="Noto Sans CJK SC"/>
        <charset val="134"/>
      </rPr>
      <t xml:space="preserve">的光团回声，边界尚清晰，内部回声呈强弱相间的漩涡状回声，内见扩张的血管环绕。
</t>
    </r>
    <r>
      <rPr>
        <sz val="9"/>
        <rFont val="Arial"/>
        <charset val="1"/>
      </rPr>
      <t>CDFI</t>
    </r>
    <r>
      <rPr>
        <sz val="9"/>
        <rFont val="Noto Sans CJK SC"/>
        <charset val="134"/>
      </rPr>
      <t>：上述光团内见漩涡环绕的动静脉血流信号。</t>
    </r>
  </si>
  <si>
    <t>中腹部异常光团回声（肠旋转不良可能）</t>
  </si>
  <si>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</si>
  <si>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肝脏切面形态正常，肝内光点分布均匀，血管走向清晰，肝右肋下</t>
    </r>
    <r>
      <rPr>
        <sz val="9"/>
        <rFont val="Arial"/>
        <charset val="1"/>
      </rPr>
      <t>2.4cm</t>
    </r>
    <r>
      <rPr>
        <sz val="9"/>
        <rFont val="Noto Sans CJK SC"/>
        <charset val="134"/>
      </rPr>
      <t>。
脾脏切面形态正常，左肋下</t>
    </r>
    <r>
      <rPr>
        <sz val="9"/>
        <rFont val="Arial"/>
        <charset val="1"/>
      </rPr>
      <t>0cm</t>
    </r>
    <r>
      <rPr>
        <sz val="9"/>
        <rFont val="Noto Sans CJK SC"/>
        <charset val="134"/>
      </rPr>
      <t>，厚</t>
    </r>
    <r>
      <rPr>
        <sz val="9"/>
        <rFont val="Arial"/>
        <charset val="1"/>
      </rPr>
      <t>1.0cm</t>
    </r>
    <r>
      <rPr>
        <sz val="9"/>
        <rFont val="Noto Sans CJK SC"/>
        <charset val="134"/>
      </rPr>
      <t xml:space="preserve">。
中上腹被大片肠气强反射回声遮盖，后方结构显示不清，余腹膜后大血管及间隙未见明显异常。
中上腹被大片肠气强反射回声遮盖，后方结构显示不清，余腹未见明显局限性异常回声。
</t>
    </r>
    <r>
      <rPr>
        <sz val="9"/>
        <rFont val="Arial"/>
        <charset val="1"/>
      </rPr>
      <t>CDFI</t>
    </r>
    <r>
      <rPr>
        <sz val="9"/>
        <rFont val="Noto Sans CJK SC"/>
        <charset val="134"/>
      </rPr>
      <t>：患儿哭闹，上述部位血流信号杂乱。</t>
    </r>
  </si>
  <si>
    <r>
      <rPr>
        <sz val="9"/>
        <rFont val="Noto Sans CJK SC"/>
        <charset val="134"/>
      </rPr>
      <t>肝右肋下</t>
    </r>
    <r>
      <rPr>
        <sz val="9"/>
        <rFont val="Arial"/>
        <charset val="1"/>
      </rPr>
      <t>2.4cm</t>
    </r>
    <r>
      <rPr>
        <sz val="9"/>
        <rFont val="Noto Sans CJK SC"/>
        <charset val="134"/>
      </rPr>
      <t>。
脾脏未见明显异常。
肠积气。（较显著）
腹膜后（可显示）未见明显异常，中上腹腹膜后显示不清，建议进一步检查。</t>
    </r>
  </si>
  <si>
    <r>
      <rPr>
        <sz val="9"/>
        <rFont val="Noto Sans CJK SC"/>
        <charset val="134"/>
      </rPr>
      <t>夜间急诊超声所见：
肝脏切面形态正常，肝内光点分布均匀，血管走向清晰，肝右肋下</t>
    </r>
    <r>
      <rPr>
        <sz val="9"/>
        <rFont val="Arial"/>
        <charset val="1"/>
      </rPr>
      <t>2.1cm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4.8cm×2.0cm</t>
    </r>
    <r>
      <rPr>
        <sz val="9"/>
        <rFont val="Noto Sans CJK SC"/>
        <charset val="134"/>
      </rPr>
      <t>，右肾：</t>
    </r>
    <r>
      <rPr>
        <sz val="9"/>
        <rFont val="Arial"/>
        <charset val="1"/>
      </rPr>
      <t>4.3cm×1.8cm</t>
    </r>
    <r>
      <rPr>
        <sz val="9"/>
        <rFont val="Noto Sans CJK SC"/>
        <charset val="134"/>
      </rPr>
      <t xml:space="preserve">，集合系统光点群未见明显分离，肾实质内未见明显异常回声。
</t>
    </r>
    <r>
      <rPr>
        <sz val="9"/>
        <rFont val="Arial"/>
        <charset val="1"/>
      </rPr>
      <t>CDFI</t>
    </r>
    <r>
      <rPr>
        <sz val="9"/>
        <rFont val="Noto Sans CJK SC"/>
        <charset val="134"/>
      </rPr>
      <t xml:space="preserve">：双肾内血流分布未见明显异常。
上腹可见气体强反射回声，余腹肠管萎瘪，未见明显局限性肿块图像及积液征。
</t>
    </r>
    <r>
      <rPr>
        <sz val="9"/>
        <rFont val="Arial"/>
        <charset val="1"/>
      </rPr>
      <t>CDFI:</t>
    </r>
    <r>
      <rPr>
        <sz val="9"/>
        <rFont val="Noto Sans CJK SC"/>
        <charset val="134"/>
      </rPr>
      <t>上述部位未见异常血流信号。</t>
    </r>
  </si>
  <si>
    <r>
      <rPr>
        <sz val="9"/>
        <rFont val="Noto Sans CJK SC"/>
        <charset val="134"/>
      </rPr>
      <t>上腹可见气体强反射回声，余腹肠管萎瘪：肠闭锁待排。
肝右肋下</t>
    </r>
    <r>
      <rPr>
        <sz val="9"/>
        <rFont val="Arial"/>
        <charset val="1"/>
      </rPr>
      <t>2.1cm</t>
    </r>
    <r>
      <rPr>
        <sz val="9"/>
        <rFont val="Noto Sans CJK SC"/>
        <charset val="134"/>
      </rPr>
      <t>。
脾脏未见明显异常。
双肾未见明显异常。</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</si>
  <si>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</si>
  <si>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】中腹部可见一大小约</t>
    </r>
    <r>
      <rPr>
        <sz val="9"/>
        <rFont val="Arial"/>
        <charset val="1"/>
      </rPr>
      <t>2.0cm×2.0cm</t>
    </r>
    <r>
      <rPr>
        <sz val="9"/>
        <rFont val="Noto Sans CJK SC"/>
        <charset val="134"/>
      </rPr>
      <t xml:space="preserve">的光团回声，边界尚清晰，内部回声呈强弱相间的漩涡状回声，内见扩张的血管环绕。余腹可见较多气体反射回声。
</t>
    </r>
    <r>
      <rPr>
        <sz val="9"/>
        <rFont val="Arial"/>
        <charset val="1"/>
      </rPr>
      <t>CDFI</t>
    </r>
    <r>
      <rPr>
        <sz val="9"/>
        <rFont val="Noto Sans CJK SC"/>
        <charset val="134"/>
      </rPr>
      <t>：患儿哭闹，上述部位血流信号较杂乱。
【腹部大血管彩超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】夜间急诊检查：
腹膜后大血管旁及其间隙内因气体干扰，大部分切面探不满意，所示切面未见明显积液征象。
</t>
    </r>
    <r>
      <rPr>
        <sz val="9"/>
        <rFont val="Arial"/>
        <charset val="1"/>
      </rPr>
      <t>CDFI</t>
    </r>
    <r>
      <rPr>
        <sz val="9"/>
        <rFont val="Noto Sans CJK SC"/>
        <charset val="134"/>
      </rPr>
      <t>：患儿哭闹，上述部位血流信号较杂乱。</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</si>
  <si>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】中上腹部异常光团回声（肠旋转不良可能）
【腹部大血管彩超</t>
    </r>
    <r>
      <rPr>
        <sz val="9"/>
        <rFont val="Arial"/>
        <charset val="1"/>
      </rPr>
      <t>(</t>
    </r>
    <r>
      <rPr>
        <sz val="9"/>
        <rFont val="Noto Sans CJK SC"/>
        <charset val="134"/>
      </rPr>
      <t>含腹膜后</t>
    </r>
    <r>
      <rPr>
        <sz val="9"/>
        <rFont val="Arial"/>
        <charset val="1"/>
      </rPr>
      <t>)</t>
    </r>
    <r>
      <rPr>
        <sz val="9"/>
        <rFont val="Noto Sans CJK SC"/>
        <charset val="134"/>
      </rPr>
      <t>】腹膜后所示切面未见明显异常。</t>
    </r>
  </si>
  <si>
    <t>第7项判“否”，原句：“肠内容物来回翻动，呈分子运动征，肠蠕动缓慢”（无“动态/实时观察”字样，未描述液体通过幽门、十二指肠的过程）</t>
  </si>
  <si>
    <r>
      <rPr>
        <sz val="9"/>
        <rFont val="Noto Sans CJK SC"/>
        <charset val="134"/>
      </rPr>
      <t>中上腹部可见一大小约</t>
    </r>
    <r>
      <rPr>
        <sz val="9"/>
        <rFont val="Arial"/>
        <charset val="1"/>
      </rPr>
      <t>2.5cm×1.3cm</t>
    </r>
    <r>
      <rPr>
        <sz val="9"/>
        <rFont val="Noto Sans CJK SC"/>
        <charset val="134"/>
      </rPr>
      <t xml:space="preserve">的低回声光团，边界尚清晰，内部回声呈强弱相间的漩涡状回声，余腹未见明显局限性异常回声。
</t>
    </r>
    <r>
      <rPr>
        <sz val="9"/>
        <rFont val="Arial"/>
        <charset val="1"/>
      </rPr>
      <t>CDFI</t>
    </r>
    <r>
      <rPr>
        <sz val="9"/>
        <rFont val="Noto Sans CJK SC"/>
        <charset val="134"/>
      </rPr>
      <t>：上述光团内见漩涡环绕的动静脉血流信号。</t>
    </r>
  </si>
  <si>
    <t>先天性肠旋转不良。</t>
  </si>
  <si>
    <r>
      <rPr>
        <sz val="9"/>
        <rFont val="Noto Sans CJK SC"/>
        <charset val="134"/>
      </rPr>
      <t>中上腹可见一大小约</t>
    </r>
    <r>
      <rPr>
        <sz val="9"/>
        <rFont val="Arial"/>
        <charset val="1"/>
      </rPr>
      <t>2.8cm×2.4cm</t>
    </r>
    <r>
      <rPr>
        <sz val="9"/>
        <rFont val="Noto Sans CJK SC"/>
        <charset val="134"/>
      </rPr>
      <t xml:space="preserve">的团状低回声，边界尚清晰，余腹腔内可见较多肠气强反射回声，未见明显局限性肿块图像及积液征，腹膜后间隙未见明显异常回声。
</t>
    </r>
    <r>
      <rPr>
        <sz val="9"/>
        <rFont val="Arial"/>
        <charset val="1"/>
      </rPr>
      <t>CDFI:</t>
    </r>
    <r>
      <rPr>
        <sz val="9"/>
        <rFont val="Noto Sans CJK SC"/>
        <charset val="134"/>
      </rPr>
      <t>上述低回声团内可见旋涡状的血流信号。</t>
    </r>
  </si>
  <si>
    <t>肠旋转不良合并中肠扭转多考虑。</t>
  </si>
  <si>
    <r>
      <rPr>
        <sz val="9"/>
        <rFont val="Noto Sans CJK SC"/>
        <charset val="134"/>
      </rPr>
      <t xml:space="preserve">右上腹部充满气体强反射回声，幽门被遮盖。
</t>
    </r>
    <r>
      <rPr>
        <sz val="9"/>
        <rFont val="Arial"/>
        <charset val="1"/>
      </rPr>
      <t>CDFI:</t>
    </r>
    <r>
      <rPr>
        <sz val="9"/>
        <rFont val="Noto Sans CJK SC"/>
        <charset val="134"/>
      </rPr>
      <t>上述部位未见异常血流信号。</t>
    </r>
  </si>
  <si>
    <t>幽门未显示。</t>
  </si>
  <si>
    <r>
      <rPr>
        <sz val="9"/>
        <rFont val="Noto Sans CJK SC"/>
        <charset val="134"/>
      </rPr>
      <t>夜间急诊超声所见：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1.3cm</t>
    </r>
    <r>
      <rPr>
        <sz val="9"/>
        <rFont val="Noto Sans CJK SC"/>
        <charset val="134"/>
      </rPr>
      <t>。
上腹部可见较多肠气强回声遮盖，幽门显示不清。
中腹部可见一大小约</t>
    </r>
    <r>
      <rPr>
        <sz val="9"/>
        <rFont val="Arial"/>
        <charset val="1"/>
      </rPr>
      <t>1.9cm×1.8cm×1.7cm</t>
    </r>
    <r>
      <rPr>
        <sz val="9"/>
        <rFont val="Noto Sans CJK SC"/>
        <charset val="134"/>
      </rPr>
      <t xml:space="preserve">的光团回声，边界尚清晰，内部回声呈强弱相间的漩涡状回声，内见扩张的血管环绕。远端肠管萎瘪，可见蠕动，余腹见较多肠气强回声。
</t>
    </r>
    <r>
      <rPr>
        <sz val="9"/>
        <rFont val="Arial"/>
        <charset val="1"/>
      </rPr>
      <t>CDFI</t>
    </r>
    <r>
      <rPr>
        <sz val="9"/>
        <rFont val="Noto Sans CJK SC"/>
        <charset val="134"/>
      </rPr>
      <t>：上述光团内见漩涡环绕的动静脉血流信号。
双肾切面形态正常，左肾：</t>
    </r>
    <r>
      <rPr>
        <sz val="9"/>
        <rFont val="Arial"/>
        <charset val="1"/>
      </rPr>
      <t>5.0cm×2.3cm</t>
    </r>
    <r>
      <rPr>
        <sz val="9"/>
        <rFont val="Noto Sans CJK SC"/>
        <charset val="134"/>
      </rPr>
      <t>，右肾：</t>
    </r>
    <r>
      <rPr>
        <sz val="9"/>
        <rFont val="Arial"/>
        <charset val="1"/>
      </rPr>
      <t>5.2cm×2.3cm</t>
    </r>
    <r>
      <rPr>
        <sz val="9"/>
        <rFont val="Noto Sans CJK SC"/>
        <charset val="134"/>
      </rPr>
      <t xml:space="preserve">，集合系统光点群回声增强，未见明显分离，肾实质内未见明显异常回声。
</t>
    </r>
    <r>
      <rPr>
        <sz val="9"/>
        <rFont val="Arial"/>
        <charset val="1"/>
      </rPr>
      <t>CDFI</t>
    </r>
    <r>
      <rPr>
        <sz val="9"/>
        <rFont val="Noto Sans CJK SC"/>
        <charset val="134"/>
      </rPr>
      <t>：双肾内血流分布未见明显异常。</t>
    </r>
  </si>
  <si>
    <t>肝脏未见明显异常。
脾脏未见明显异常。
中腹部异常光团回声（肠旋转不良可能）。
幽门因肠气显示不清。
双肾集合系统回声增强。</t>
  </si>
  <si>
    <r>
      <rPr>
        <sz val="9"/>
        <rFont val="Noto Sans CJK SC"/>
        <charset val="134"/>
      </rPr>
      <t>夜间急诊超声所见，（患儿扭动剧烈检查欠配合！）
中上腹部可见一直径</t>
    </r>
    <r>
      <rPr>
        <sz val="9"/>
        <rFont val="Arial"/>
        <charset val="1"/>
      </rPr>
      <t>2.4cm</t>
    </r>
    <r>
      <rPr>
        <sz val="9"/>
        <rFont val="Noto Sans CJK SC"/>
        <charset val="134"/>
      </rPr>
      <t>的光团回声，边界尚清晰，内部回声呈强弱相间的漩涡状回声，内见扩张的血管环绕。脐周肠间可见多枚系膜淋巴结，边界清晰，内部回声尚均匀，其中较大者约为</t>
    </r>
    <r>
      <rPr>
        <sz val="9"/>
        <rFont val="Arial"/>
        <charset val="1"/>
      </rPr>
      <t>1.5cm×0.7cm</t>
    </r>
    <r>
      <rPr>
        <sz val="9"/>
        <rFont val="Noto Sans CJK SC"/>
        <charset val="134"/>
      </rPr>
      <t xml:space="preserve">，其周围肠间系膜增厚，回声增强，余腹未见明显异常回声。
</t>
    </r>
    <r>
      <rPr>
        <sz val="9"/>
        <rFont val="Arial"/>
        <charset val="1"/>
      </rPr>
      <t>CDFI</t>
    </r>
    <r>
      <rPr>
        <sz val="9"/>
        <rFont val="Noto Sans CJK SC"/>
        <charset val="134"/>
      </rPr>
      <t>：患儿哭吵剧烈，上述类“靶环征”上似可见漩涡状血流信号。</t>
    </r>
  </si>
  <si>
    <t>中上腹部异常光团回声（肠旋转不良多考虑）。
脐周多枚肠系膜淋巴结肿大。</t>
  </si>
  <si>
    <r>
      <rPr>
        <sz val="9"/>
        <rFont val="Noto Sans CJK SC"/>
        <charset val="134"/>
      </rPr>
      <t>中上腹部可见一大小约</t>
    </r>
    <r>
      <rPr>
        <sz val="9"/>
        <rFont val="Arial"/>
        <charset val="1"/>
      </rPr>
      <t>1.6cm×1.2cm</t>
    </r>
    <r>
      <rPr>
        <sz val="9"/>
        <rFont val="Noto Sans CJK SC"/>
        <charset val="134"/>
      </rPr>
      <t xml:space="preserve">的低回声光团，边界尚清晰，内部回声呈强弱相间的漩涡状回声，十二指肠近端扩张，可见肠内容物回声，余腹未见明显异常回声。
</t>
    </r>
    <r>
      <rPr>
        <sz val="9"/>
        <rFont val="Arial"/>
        <charset val="1"/>
      </rPr>
      <t>CDFI</t>
    </r>
    <r>
      <rPr>
        <sz val="9"/>
        <rFont val="Noto Sans CJK SC"/>
        <charset val="134"/>
      </rPr>
      <t>：上述光团内见漩涡环绕的动静脉血流信号。</t>
    </r>
  </si>
  <si>
    <t>肠旋转不良并十二指肠不全性梗阻多考虑。</t>
  </si>
  <si>
    <r>
      <rPr>
        <sz val="9"/>
        <rFont val="Noto Sans CJK SC"/>
        <charset val="134"/>
      </rPr>
      <t>肝脏切面形态正常，肝内光点分布均匀，血管走向清晰，肝右肋下</t>
    </r>
    <r>
      <rPr>
        <sz val="9"/>
        <rFont val="Arial"/>
        <charset val="1"/>
      </rPr>
      <t>0.8cm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4.9cm×1.6cm</t>
    </r>
    <r>
      <rPr>
        <sz val="9"/>
        <rFont val="Noto Sans CJK SC"/>
        <charset val="134"/>
      </rPr>
      <t>，右肾：</t>
    </r>
    <r>
      <rPr>
        <sz val="9"/>
        <rFont val="Arial"/>
        <charset val="1"/>
      </rPr>
      <t>4.7cm×1.8cm</t>
    </r>
    <r>
      <rPr>
        <sz val="9"/>
        <rFont val="Noto Sans CJK SC"/>
        <charset val="134"/>
      </rPr>
      <t xml:space="preserve">，集合系统光点群未见明显分离，肾实质内未见明显异常回声。
胃腔萎瘪，可见胃管回声，各自小肠排列未见异常，未见积液扩张肠襻，回盲部位于右下腹，未见明显局限性肿块图像及积液征。
</t>
    </r>
    <r>
      <rPr>
        <sz val="9"/>
        <rFont val="Arial"/>
        <charset val="1"/>
      </rPr>
      <t>CDFI:</t>
    </r>
    <r>
      <rPr>
        <sz val="9"/>
        <rFont val="Noto Sans CJK SC"/>
        <charset val="134"/>
      </rPr>
      <t>上述部位未见异常血流信号。肠系膜上动、静脉排列未见明显异常。</t>
    </r>
  </si>
  <si>
    <t>肝脏未见明显异常。
脾脏未见明显异常。
双肾未见明显异常。
腹腔内未见明显异常。</t>
  </si>
  <si>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双肾切面形态正常，左肾：</t>
    </r>
    <r>
      <rPr>
        <sz val="9"/>
        <rFont val="Arial"/>
        <charset val="1"/>
      </rPr>
      <t>4.7cm×2.5cm</t>
    </r>
    <r>
      <rPr>
        <sz val="9"/>
        <rFont val="Noto Sans CJK SC"/>
        <charset val="134"/>
      </rPr>
      <t>，右肾：</t>
    </r>
    <r>
      <rPr>
        <sz val="9"/>
        <rFont val="Arial"/>
        <charset val="1"/>
      </rPr>
      <t>4.2cm×2.2cm</t>
    </r>
    <r>
      <rPr>
        <sz val="9"/>
        <rFont val="Noto Sans CJK SC"/>
        <charset val="134"/>
      </rPr>
      <t>，左肾集合系统分离前后径约</t>
    </r>
    <r>
      <rPr>
        <sz val="9"/>
        <rFont val="Arial"/>
        <charset val="1"/>
      </rPr>
      <t>1.2cm</t>
    </r>
    <r>
      <rPr>
        <sz val="9"/>
        <rFont val="Noto Sans CJK SC"/>
        <charset val="134"/>
      </rPr>
      <t xml:space="preserve">，右肾集合系统光点群未见明显分离，肾实质内未见明显异常回声。
下腹被大片肠气强反射回声遮盖，后方结构显示不清。余腹未见明显局限性肿块图像及积液征。
</t>
    </r>
    <r>
      <rPr>
        <sz val="9"/>
        <rFont val="Arial"/>
        <charset val="1"/>
      </rPr>
      <t>CDFI</t>
    </r>
    <r>
      <rPr>
        <sz val="9"/>
        <rFont val="Noto Sans CJK SC"/>
        <charset val="134"/>
      </rPr>
      <t>：患儿哭闹，上述部位血流信号杂乱。</t>
    </r>
  </si>
  <si>
    <t>肝脏未见明显异常。
脾脏未见明显异常。
左肾积水。
右肾未见明显异常。
肠积气。</t>
  </si>
  <si>
    <r>
      <rPr>
        <sz val="9"/>
        <rFont val="Noto Sans CJK SC"/>
        <charset val="134"/>
      </rPr>
      <t>肝脏切面形态正常，肝内光点分布均匀，血管走向清晰，肝右肋下</t>
    </r>
    <r>
      <rPr>
        <sz val="9"/>
        <rFont val="Arial"/>
        <charset val="1"/>
      </rPr>
      <t>1.0cm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双肾切面形态正常，左肾：</t>
    </r>
    <r>
      <rPr>
        <sz val="9"/>
        <rFont val="Arial"/>
        <charset val="1"/>
      </rPr>
      <t>4.4cm×1.7cm</t>
    </r>
    <r>
      <rPr>
        <sz val="9"/>
        <rFont val="Noto Sans CJK SC"/>
        <charset val="134"/>
      </rPr>
      <t>，右肾：</t>
    </r>
    <r>
      <rPr>
        <sz val="9"/>
        <rFont val="Arial"/>
        <charset val="1"/>
      </rPr>
      <t>3.8cm×2.0cm</t>
    </r>
    <r>
      <rPr>
        <sz val="9"/>
        <rFont val="Noto Sans CJK SC"/>
        <charset val="134"/>
      </rPr>
      <t xml:space="preserve">，集合系统光点群未见明显分离，肾实质内未见明显异常回声。
</t>
    </r>
    <r>
      <rPr>
        <sz val="9"/>
        <rFont val="Arial"/>
        <charset val="1"/>
      </rPr>
      <t>CDFI</t>
    </r>
    <r>
      <rPr>
        <sz val="9"/>
        <rFont val="Noto Sans CJK SC"/>
        <charset val="134"/>
      </rPr>
      <t>：双肾内血流分布未见明显异常。
中腹部可见一大小约</t>
    </r>
    <r>
      <rPr>
        <sz val="9"/>
        <rFont val="Arial"/>
        <charset val="1"/>
      </rPr>
      <t>2.8cm×2.2cm</t>
    </r>
    <r>
      <rPr>
        <sz val="9"/>
        <rFont val="Noto Sans CJK SC"/>
        <charset val="134"/>
      </rPr>
      <t xml:space="preserve">的光团回声，边界尚清晰，内部回声呈强弱相间的漩涡状，余腹未见明显局限性异常回声。
</t>
    </r>
    <r>
      <rPr>
        <sz val="9"/>
        <rFont val="Arial"/>
        <charset val="1"/>
      </rPr>
      <t>CDFI</t>
    </r>
    <r>
      <rPr>
        <sz val="9"/>
        <rFont val="Noto Sans CJK SC"/>
        <charset val="134"/>
      </rPr>
      <t>：上述光团内见漩涡环绕的动静脉血流信号。</t>
    </r>
  </si>
  <si>
    <r>
      <rPr>
        <sz val="9"/>
        <rFont val="Noto Sans CJK SC"/>
        <charset val="134"/>
      </rPr>
      <t>中腹部异常光团回声（肠旋转不良可能），建议进一步检查。
肝右肋下</t>
    </r>
    <r>
      <rPr>
        <sz val="9"/>
        <rFont val="Arial"/>
        <charset val="1"/>
      </rPr>
      <t>1.0cm</t>
    </r>
    <r>
      <rPr>
        <sz val="9"/>
        <rFont val="Noto Sans CJK SC"/>
        <charset val="134"/>
      </rPr>
      <t>。
脾脏未见明显异常。
双肾未见明显异常。</t>
    </r>
  </si>
  <si>
    <r>
      <rPr>
        <sz val="9"/>
        <rFont val="Noto Sans CJK SC"/>
        <charset val="134"/>
      </rPr>
      <t>中上腹部可见一大小约</t>
    </r>
    <r>
      <rPr>
        <sz val="9"/>
        <rFont val="Arial"/>
        <charset val="1"/>
      </rPr>
      <t>1.4cm×1.3cm</t>
    </r>
    <r>
      <rPr>
        <sz val="9"/>
        <rFont val="Noto Sans CJK SC"/>
        <charset val="134"/>
      </rPr>
      <t xml:space="preserve">的光团回声，边界尚清晰，内部似呈强弱相间的漩涡状回声，余腹可见较多肠气回声。
</t>
    </r>
    <r>
      <rPr>
        <sz val="9"/>
        <rFont val="Arial"/>
        <charset val="1"/>
      </rPr>
      <t>CDFI</t>
    </r>
    <r>
      <rPr>
        <sz val="9"/>
        <rFont val="Noto Sans CJK SC"/>
        <charset val="134"/>
      </rPr>
      <t>：患儿哭吵剧烈，上述光团内似可见漩涡环绕血流信号。
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1.4cm</t>
    </r>
    <r>
      <rPr>
        <sz val="9"/>
        <rFont val="Noto Sans CJK SC"/>
        <charset val="134"/>
      </rPr>
      <t>。
双肾切面形态正常，左肾：</t>
    </r>
    <r>
      <rPr>
        <sz val="9"/>
        <rFont val="Arial"/>
        <charset val="1"/>
      </rPr>
      <t>5.0cm×2.5cm</t>
    </r>
    <r>
      <rPr>
        <sz val="9"/>
        <rFont val="Noto Sans CJK SC"/>
        <charset val="134"/>
      </rPr>
      <t>，右肾：</t>
    </r>
    <r>
      <rPr>
        <sz val="9"/>
        <rFont val="Arial"/>
        <charset val="1"/>
      </rPr>
      <t>4.9cm×2.3cm</t>
    </r>
    <r>
      <rPr>
        <sz val="9"/>
        <rFont val="Noto Sans CJK SC"/>
        <charset val="134"/>
      </rPr>
      <t xml:space="preserve">，集合系统光点群未见明显分离，肾实质内未见明显异常回声。
</t>
    </r>
    <r>
      <rPr>
        <sz val="9"/>
        <rFont val="Arial"/>
        <charset val="1"/>
      </rPr>
      <t>CDFI</t>
    </r>
    <r>
      <rPr>
        <sz val="9"/>
        <rFont val="Noto Sans CJK SC"/>
        <charset val="134"/>
      </rPr>
      <t>：患儿哭闹，上述部位血流信号较杂乱。</t>
    </r>
  </si>
  <si>
    <t>中上腹异常回声：肠旋转不良可疑。
肝脏未见明显异常。
脾脏未见明显异常。
双肾未见明显异常。</t>
  </si>
  <si>
    <r>
      <rPr>
        <sz val="9"/>
        <rFont val="Noto Sans CJK SC"/>
        <charset val="134"/>
      </rPr>
      <t xml:space="preserve">腹腔内可见较多气体强反射回声，以中上腹为甚，未见明显局限性肿块图像及积液征。
</t>
    </r>
    <r>
      <rPr>
        <sz val="9"/>
        <rFont val="Arial"/>
        <charset val="1"/>
      </rPr>
      <t>CDFI:</t>
    </r>
    <r>
      <rPr>
        <sz val="9"/>
        <rFont val="Noto Sans CJK SC"/>
        <charset val="134"/>
      </rPr>
      <t>上述部位未见明显异常血流信号。</t>
    </r>
  </si>
  <si>
    <t>肠积气。</t>
  </si>
  <si>
    <r>
      <rPr>
        <sz val="9"/>
        <rFont val="Noto Sans CJK SC"/>
        <charset val="134"/>
      </rPr>
      <t>上腹部可探及一包块，短轴呈同心圆征，直径</t>
    </r>
    <r>
      <rPr>
        <sz val="9"/>
        <rFont val="Arial"/>
        <charset val="1"/>
      </rPr>
      <t>2.2cm</t>
    </r>
    <r>
      <rPr>
        <sz val="9"/>
        <rFont val="Noto Sans CJK SC"/>
        <charset val="134"/>
      </rPr>
      <t>，</t>
    </r>
    <r>
      <rPr>
        <sz val="9"/>
        <rFont val="Arial"/>
        <charset val="1"/>
      </rPr>
      <t>CDFI</t>
    </r>
    <r>
      <rPr>
        <sz val="9"/>
        <rFont val="Noto Sans CJK SC"/>
        <charset val="134"/>
      </rPr>
      <t>：其内可见旋转走形的肠系膜上动脉。余肠管内见较多气体回声。</t>
    </r>
  </si>
  <si>
    <t>上腹部包块，考虑为肠旋转不良。</t>
  </si>
  <si>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</si>
  <si>
    <r>
      <rPr>
        <sz val="9"/>
        <rFont val="Noto Sans CJK SC"/>
        <charset val="134"/>
      </rPr>
      <t xml:space="preserve">上腹肠管轻度扩张，肠腔内积液、积气，肠蠕动存在，腹腔内未见明显游离液性暗区。
</t>
    </r>
    <r>
      <rPr>
        <sz val="9"/>
        <rFont val="Arial"/>
        <charset val="1"/>
      </rPr>
      <t>CDFI:</t>
    </r>
    <r>
      <rPr>
        <sz val="9"/>
        <rFont val="Noto Sans CJK SC"/>
        <charset val="134"/>
      </rPr>
      <t xml:space="preserve">上述部位未见异常血流信号。
腹膜后大血管旁及其间隙内未见明显局限性肿块图像。
</t>
    </r>
    <r>
      <rPr>
        <sz val="9"/>
        <rFont val="Arial"/>
        <charset val="1"/>
      </rPr>
      <t>CDFI:</t>
    </r>
    <r>
      <rPr>
        <sz val="9"/>
        <rFont val="Noto Sans CJK SC"/>
        <charset val="134"/>
      </rPr>
      <t>上述部位未见明显异常血流信号。</t>
    </r>
  </si>
  <si>
    <t>局限性肠管扩张。
腹膜后未见明显异常。</t>
  </si>
  <si>
    <r>
      <rPr>
        <sz val="9"/>
        <rFont val="Noto Sans CJK SC"/>
        <charset val="134"/>
      </rPr>
      <t xml:space="preserve">夜间急诊超声所见：
腹膜后大血管旁及其间隙内未见明显局限性肿块图像。
</t>
    </r>
    <r>
      <rPr>
        <sz val="9"/>
        <rFont val="Arial"/>
        <charset val="1"/>
      </rPr>
      <t>CDFI:</t>
    </r>
    <r>
      <rPr>
        <sz val="9"/>
        <rFont val="Noto Sans CJK SC"/>
        <charset val="134"/>
      </rPr>
      <t>患儿哭闹，上述部位血流信号杂乱。</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</si>
  <si>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</si>
  <si>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
【胃肠道彩超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1.3cm</t>
    </r>
    <r>
      <rPr>
        <sz val="9"/>
        <rFont val="Noto Sans CJK SC"/>
        <charset val="134"/>
      </rPr>
      <t xml:space="preserve">。
腹腔内可见较多肠气强反射回声，未见明显局限性肿块图像及积液征。
</t>
    </r>
    <r>
      <rPr>
        <sz val="9"/>
        <rFont val="Arial"/>
        <charset val="1"/>
      </rPr>
      <t>CDFI:</t>
    </r>
    <r>
      <rPr>
        <sz val="9"/>
        <rFont val="Noto Sans CJK SC"/>
        <charset val="134"/>
      </rPr>
      <t>上述部位未见异常血流信号。
双肾切面形态正常，左肾</t>
    </r>
    <r>
      <rPr>
        <sz val="9"/>
        <rFont val="Arial"/>
        <charset val="1"/>
      </rPr>
      <t>4.5cm×1.8cm</t>
    </r>
    <r>
      <rPr>
        <sz val="9"/>
        <rFont val="Noto Sans CJK SC"/>
        <charset val="134"/>
      </rPr>
      <t>，右肾：</t>
    </r>
    <r>
      <rPr>
        <sz val="9"/>
        <rFont val="Arial"/>
        <charset val="1"/>
      </rPr>
      <t>4.4cm×1.7cm</t>
    </r>
    <r>
      <rPr>
        <sz val="9"/>
        <rFont val="Noto Sans CJK SC"/>
        <charset val="134"/>
      </rPr>
      <t xml:space="preserve">，集合系统光点群未见明显分离，肾实质内未见明显异常回声。
</t>
    </r>
    <r>
      <rPr>
        <sz val="9"/>
        <rFont val="Arial"/>
        <charset val="1"/>
      </rPr>
      <t>CDFI</t>
    </r>
    <r>
      <rPr>
        <sz val="9"/>
        <rFont val="Noto Sans CJK SC"/>
        <charset val="134"/>
      </rPr>
      <t>：双肾内血流分布未见明显异常。</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</si>
  <si>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】腹膜后未见明显异常。
【胃肠道彩超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双肾及肾血管彩超】肝脏未见明显异常。
脾脏未见明显异常。
腹腔内未见明显异常。
双肾未见明显异常。</t>
    </r>
  </si>
  <si>
    <r>
      <rPr>
        <sz val="9"/>
        <rFont val="Noto Sans CJK SC"/>
        <charset val="134"/>
      </rPr>
      <t xml:space="preserve">夜间急诊超声所见：
腹腔肠积气显著，腹膜后结构显示不清。
</t>
    </r>
    <r>
      <rPr>
        <sz val="9"/>
        <rFont val="Arial"/>
        <charset val="1"/>
      </rPr>
      <t>CDFI:</t>
    </r>
    <r>
      <rPr>
        <sz val="9"/>
        <rFont val="Noto Sans CJK SC"/>
        <charset val="134"/>
      </rPr>
      <t>上述部位未见明显异常血流信号。</t>
    </r>
  </si>
  <si>
    <t>肠积气显著，腹膜后结构显示不清。建议复查</t>
  </si>
  <si>
    <r>
      <rPr>
        <sz val="9"/>
        <rFont val="Noto Sans CJK SC"/>
        <charset val="134"/>
      </rPr>
      <t>夜间急诊检查：
中上腹部可见一大小约</t>
    </r>
    <r>
      <rPr>
        <sz val="9"/>
        <rFont val="Arial"/>
        <charset val="1"/>
      </rPr>
      <t>2.0cm×2.0cm</t>
    </r>
    <r>
      <rPr>
        <sz val="9"/>
        <rFont val="Noto Sans CJK SC"/>
        <charset val="134"/>
      </rPr>
      <t xml:space="preserve">的光团回声，边界尚清晰，内部回声呈强弱相间的漩涡状回声，内见扩张的血管环绕。余腹膜后因气体干扰，探及不满意。
</t>
    </r>
    <r>
      <rPr>
        <sz val="9"/>
        <rFont val="Arial"/>
        <charset val="1"/>
      </rPr>
      <t>CDFI</t>
    </r>
    <r>
      <rPr>
        <sz val="9"/>
        <rFont val="Noto Sans CJK SC"/>
        <charset val="134"/>
      </rPr>
      <t>：患儿哭闹，上述部位血流信号较杂乱。</t>
    </r>
  </si>
  <si>
    <r>
      <rPr>
        <sz val="9"/>
        <rFont val="Noto Sans CJK SC"/>
        <charset val="134"/>
      </rPr>
      <t>上腹部见范围约</t>
    </r>
    <r>
      <rPr>
        <sz val="9"/>
        <rFont val="Arial"/>
        <charset val="1"/>
      </rPr>
      <t>3.2cm×1.8cm</t>
    </r>
    <r>
      <rPr>
        <sz val="9"/>
        <rFont val="Noto Sans CJK SC"/>
        <charset val="134"/>
      </rPr>
      <t xml:space="preserve">的光团回声，边界尚清晰，其内回声不均匀，见螺旋状强弱相间回声，内见管状回声。
</t>
    </r>
    <r>
      <rPr>
        <sz val="9"/>
        <rFont val="Arial"/>
        <charset val="1"/>
      </rPr>
      <t>CDFI</t>
    </r>
    <r>
      <rPr>
        <sz val="9"/>
        <rFont val="Noto Sans CJK SC"/>
        <charset val="134"/>
      </rPr>
      <t>：上述光团内见肠系膜上静脉血流环绕肠系膜上动脉呈螺旋状走行。</t>
    </r>
  </si>
  <si>
    <t>肠旋转不良。</t>
  </si>
  <si>
    <r>
      <rPr>
        <sz val="9"/>
        <rFont val="Noto Sans CJK SC"/>
        <charset val="134"/>
      </rPr>
      <t>中上腹部可见一大小约</t>
    </r>
    <r>
      <rPr>
        <sz val="9"/>
        <rFont val="Arial"/>
        <charset val="1"/>
      </rPr>
      <t>1.3cm×1.2cm</t>
    </r>
    <r>
      <rPr>
        <sz val="9"/>
        <rFont val="Noto Sans CJK SC"/>
        <charset val="134"/>
      </rPr>
      <t xml:space="preserve">的光团回声，边界尚清晰，内部回声呈强弱相间的漩涡状回声。上端肠管及胃内可见液性无回声，并见散在细小强光点回声漂浮移动。余腹膜后未见明显局限性异常回声。
</t>
    </r>
    <r>
      <rPr>
        <sz val="9"/>
        <rFont val="Arial"/>
        <charset val="1"/>
      </rPr>
      <t>CDFI</t>
    </r>
    <r>
      <rPr>
        <sz val="9"/>
        <rFont val="Noto Sans CJK SC"/>
        <charset val="134"/>
      </rPr>
      <t>：上述光团内见漩涡环绕的动静脉血流信号。</t>
    </r>
  </si>
  <si>
    <t>中上腹部异常光团回声（肠旋转不良可能）。</t>
  </si>
  <si>
    <r>
      <rPr>
        <sz val="9"/>
        <rFont val="Noto Sans CJK SC"/>
        <charset val="134"/>
      </rPr>
      <t>夜间急诊超声所见：
上腹被大片肠气强反射回声遮盖，右上腹腔内似可见一大小约</t>
    </r>
    <r>
      <rPr>
        <sz val="9"/>
        <rFont val="Arial"/>
        <charset val="1"/>
      </rPr>
      <t>2.9cm×2.4cm</t>
    </r>
    <r>
      <rPr>
        <sz val="9"/>
        <rFont val="Noto Sans CJK SC"/>
        <charset val="134"/>
      </rPr>
      <t>的类“靶环征”低回声团，右侧腹肠间可见数枚系膜淋巴结，边界清晰，内部回声尚均匀，其中较大者约为</t>
    </r>
    <r>
      <rPr>
        <sz val="9"/>
        <rFont val="Arial"/>
        <charset val="1"/>
      </rPr>
      <t>1.6cm×0.7cm</t>
    </r>
    <r>
      <rPr>
        <sz val="9"/>
        <rFont val="Noto Sans CJK SC"/>
        <charset val="134"/>
      </rPr>
      <t>，左下腹可见一肾脏回声，大小</t>
    </r>
    <r>
      <rPr>
        <sz val="9"/>
        <rFont val="Arial"/>
        <charset val="1"/>
      </rPr>
      <t>7.4cm× 4.8cm</t>
    </r>
    <r>
      <rPr>
        <sz val="9"/>
        <rFont val="Noto Sans CJK SC"/>
        <charset val="134"/>
      </rPr>
      <t>（前后径）</t>
    </r>
    <r>
      <rPr>
        <sz val="9"/>
        <rFont val="Arial"/>
        <charset val="1"/>
      </rPr>
      <t>×4.4cm</t>
    </r>
    <r>
      <rPr>
        <sz val="9"/>
        <rFont val="Noto Sans CJK SC"/>
        <charset val="134"/>
      </rPr>
      <t xml:space="preserve">，集合系统光点群未见明显分离，实质内未见明显异常包块回声，余未见明显局限性肿块图像及积液征。
</t>
    </r>
    <r>
      <rPr>
        <sz val="9"/>
        <rFont val="Arial"/>
        <charset val="1"/>
      </rPr>
      <t>CDFI</t>
    </r>
    <r>
      <rPr>
        <sz val="9"/>
        <rFont val="Noto Sans CJK SC"/>
        <charset val="134"/>
      </rPr>
      <t>：患儿哭闹，上述部位血流信号杂乱。上述低回声团处血管走行紊乱。</t>
    </r>
  </si>
  <si>
    <t>右上腹部异常光团回声（肠旋转不良可能不排）。
右侧腹可见数枚肠系膜淋巴结。
左下腹异位独立肾可能。
肠积气。</t>
  </si>
  <si>
    <t>第11项判“否”，原句：“上述低回声团处血管走行紊乱”（紊乱≠漩涡/螺旋/旋转描述）</t>
  </si>
  <si>
    <r>
      <rPr>
        <sz val="9"/>
        <rFont val="Noto Sans CJK SC"/>
        <charset val="134"/>
      </rPr>
      <t>肝脏切面形态正常，肝内光点分布均匀，血管走向清晰，肝右肋下</t>
    </r>
    <r>
      <rPr>
        <sz val="9"/>
        <rFont val="Arial"/>
        <charset val="1"/>
      </rPr>
      <t>2.0cm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双肾切面形态正常，左肾：</t>
    </r>
    <r>
      <rPr>
        <sz val="9"/>
        <rFont val="Arial"/>
        <charset val="1"/>
      </rPr>
      <t>4.3cm×2.2cm</t>
    </r>
    <r>
      <rPr>
        <sz val="9"/>
        <rFont val="Noto Sans CJK SC"/>
        <charset val="134"/>
      </rPr>
      <t>，右肾：</t>
    </r>
    <r>
      <rPr>
        <sz val="9"/>
        <rFont val="Arial"/>
        <charset val="1"/>
      </rPr>
      <t>3.8cm×1.9cm</t>
    </r>
    <r>
      <rPr>
        <sz val="9"/>
        <rFont val="Noto Sans CJK SC"/>
        <charset val="134"/>
      </rPr>
      <t xml:space="preserve">，集合系统光点群未见明显分离，肾实质内未见明显异常回声。
</t>
    </r>
    <r>
      <rPr>
        <sz val="9"/>
        <rFont val="Arial"/>
        <charset val="1"/>
      </rPr>
      <t>CDFI</t>
    </r>
    <r>
      <rPr>
        <sz val="9"/>
        <rFont val="Noto Sans CJK SC"/>
        <charset val="134"/>
      </rPr>
      <t>：双肾内血流分布未见明显异常。
右侧腹部可见一大小约</t>
    </r>
    <r>
      <rPr>
        <sz val="9"/>
        <rFont val="Arial"/>
        <charset val="1"/>
      </rPr>
      <t>4cm×3.5cm</t>
    </r>
    <r>
      <rPr>
        <sz val="9"/>
        <rFont val="Noto Sans CJK SC"/>
        <charset val="134"/>
      </rPr>
      <t xml:space="preserve">的光团回声，边界尚清晰，内部回声呈强弱相间的漩涡状回声，内见扩张的血管环绕，纵切显示不满意。上端肠管及胃内未见明显扩张，余腹未见明显局限性异常回声。
</t>
    </r>
    <r>
      <rPr>
        <sz val="9"/>
        <rFont val="Arial"/>
        <charset val="1"/>
      </rPr>
      <t>CDFI</t>
    </r>
    <r>
      <rPr>
        <sz val="9"/>
        <rFont val="Noto Sans CJK SC"/>
        <charset val="134"/>
      </rPr>
      <t>：上述光团内见漩涡环绕的动静脉血流信号。</t>
    </r>
  </si>
  <si>
    <r>
      <rPr>
        <sz val="9"/>
        <rFont val="Noto Sans CJK SC"/>
        <charset val="134"/>
      </rPr>
      <t>肝右肋下</t>
    </r>
    <r>
      <rPr>
        <sz val="9"/>
        <rFont val="Arial"/>
        <charset val="1"/>
      </rPr>
      <t>2.0cm</t>
    </r>
    <r>
      <rPr>
        <sz val="9"/>
        <rFont val="Noto Sans CJK SC"/>
        <charset val="134"/>
      </rPr>
      <t>。
脾脏未见明显异常。
双肾未见明显异常。
右侧腹部异常光团回声（肠旋转不良？血管异常走行？）建议进一步检查</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</si>
  <si>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】患儿哭闹剧烈！探查欠满意！
中上腹及左、右侧腹被大片肠气强反射回声遮盖，后方结构显示不清，脐下腹部可见多个椭圆形低回声团，边界清晰，内部回声尚均匀，其中较大者约为</t>
    </r>
    <r>
      <rPr>
        <sz val="9"/>
        <rFont val="Arial"/>
        <charset val="1"/>
      </rPr>
      <t>0.7cm×0.5cm</t>
    </r>
    <r>
      <rPr>
        <sz val="9"/>
        <rFont val="Noto Sans CJK SC"/>
        <charset val="134"/>
      </rPr>
      <t xml:space="preserve">，其周围系膜肿胀增厚，回声增强。
</t>
    </r>
    <r>
      <rPr>
        <sz val="9"/>
        <rFont val="Arial"/>
        <charset val="1"/>
      </rPr>
      <t>CDFI</t>
    </r>
    <r>
      <rPr>
        <sz val="9"/>
        <rFont val="Noto Sans CJK SC"/>
        <charset val="134"/>
      </rPr>
      <t>：患儿哭闹，上述部位血流信号杂乱不清。
【腹部大血管彩超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】患儿哭闹剧烈！探查欠满意！
中上腹及左、右侧腹被大片肠气强反射回声遮盖，后方结构显示不清，余腹膜后大血管旁及其间隙内未见明显局限性肿块图像。
</t>
    </r>
    <r>
      <rPr>
        <sz val="9"/>
        <rFont val="Arial"/>
        <charset val="1"/>
      </rPr>
      <t>CDFI:</t>
    </r>
    <r>
      <rPr>
        <sz val="9"/>
        <rFont val="Noto Sans CJK SC"/>
        <charset val="134"/>
      </rPr>
      <t>上述部位未见明显异常血流信号。</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</si>
  <si>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】中上腹及左、右侧腹受肠积气影响探查受限，请结合其他检查。
下腹部可见多枚肠系膜淋巴结伴周围系膜肿胀。
【腹部大血管彩超</t>
    </r>
    <r>
      <rPr>
        <sz val="9"/>
        <rFont val="Arial"/>
        <charset val="1"/>
      </rPr>
      <t>(</t>
    </r>
    <r>
      <rPr>
        <sz val="9"/>
        <rFont val="Noto Sans CJK SC"/>
        <charset val="134"/>
      </rPr>
      <t>含腹膜后</t>
    </r>
    <r>
      <rPr>
        <sz val="9"/>
        <rFont val="Arial"/>
        <charset val="1"/>
      </rPr>
      <t>)</t>
    </r>
    <r>
      <rPr>
        <sz val="9"/>
        <rFont val="Noto Sans CJK SC"/>
        <charset val="134"/>
      </rPr>
      <t>】中上腹及左、右侧腹受肠积气影响探查受限。
余腹膜后未见明显异常。</t>
    </r>
  </si>
  <si>
    <r>
      <rPr>
        <sz val="9"/>
        <rFont val="Noto Sans CJK SC"/>
        <charset val="134"/>
      </rPr>
      <t>幽门彩超</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</si>
  <si>
    <r>
      <rPr>
        <sz val="9"/>
        <rFont val="Noto Sans CJK SC"/>
        <charset val="134"/>
      </rPr>
      <t>上腹部较多气体强反射回声，幽门显示欠佳。幽门管长</t>
    </r>
    <r>
      <rPr>
        <sz val="9"/>
        <rFont val="Arial"/>
        <charset val="1"/>
      </rPr>
      <t>1.5cm</t>
    </r>
    <r>
      <rPr>
        <sz val="9"/>
        <rFont val="Noto Sans CJK SC"/>
        <charset val="134"/>
      </rPr>
      <t>，直径</t>
    </r>
    <r>
      <rPr>
        <sz val="9"/>
        <rFont val="Arial"/>
        <charset val="1"/>
      </rPr>
      <t>1.3cm</t>
    </r>
    <r>
      <rPr>
        <sz val="9"/>
        <rFont val="Noto Sans CJK SC"/>
        <charset val="134"/>
      </rPr>
      <t>，管壁肌层轻度增厚，厚度</t>
    </r>
    <r>
      <rPr>
        <sz val="9"/>
        <rFont val="Arial"/>
        <charset val="1"/>
      </rPr>
      <t>0.30-0.35cm</t>
    </r>
    <r>
      <rPr>
        <sz val="9"/>
        <rFont val="Noto Sans CJK SC"/>
        <charset val="134"/>
      </rPr>
      <t>。
中腹部隐约探及一大小</t>
    </r>
    <r>
      <rPr>
        <sz val="9"/>
        <rFont val="Arial"/>
        <charset val="1"/>
      </rPr>
      <t>1.6cm×1.7cm</t>
    </r>
    <r>
      <rPr>
        <sz val="9"/>
        <rFont val="Noto Sans CJK SC"/>
        <charset val="134"/>
      </rPr>
      <t xml:space="preserve">的稍强光团回声，边界欠清晰，内部回声略呈强弱相间的漩涡状回声。余腹未见明显局限性异常回声。
</t>
    </r>
    <r>
      <rPr>
        <sz val="9"/>
        <rFont val="Arial"/>
        <charset val="1"/>
      </rPr>
      <t>CDFI:</t>
    </r>
    <r>
      <rPr>
        <sz val="9"/>
        <rFont val="Noto Sans CJK SC"/>
        <charset val="134"/>
      </rPr>
      <t>患儿哭闹，上述部位血流信号杂乱。</t>
    </r>
  </si>
  <si>
    <t>目前幽门肌层轻度增厚。随观
中腹部隐约探及稍强光团回声（肠旋转不良可能），建议进一步检查</t>
  </si>
  <si>
    <t>第11项判“否”，原句：“内部回声略呈强弱相间的漩涡状回声”（仅回声形态描述，未见血管环绕或旋转）</t>
  </si>
  <si>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】急症床边：
肝肾间隙之间探及范围约为</t>
    </r>
    <r>
      <rPr>
        <sz val="9"/>
        <rFont val="Arial"/>
        <charset val="1"/>
      </rPr>
      <t>1.9cm×0.7cm</t>
    </r>
    <r>
      <rPr>
        <sz val="9"/>
        <rFont val="Noto Sans CJK SC"/>
        <charset val="134"/>
      </rPr>
      <t>的形态欠规则无回声区，边界清晰，其内透声性不佳，可见网格状分隔回声显示，左侧腹肠间液性暗区，较深约</t>
    </r>
    <r>
      <rPr>
        <sz val="9"/>
        <rFont val="Arial"/>
        <charset val="1"/>
      </rPr>
      <t>1.9cm</t>
    </r>
    <r>
      <rPr>
        <sz val="9"/>
        <rFont val="Noto Sans CJK SC"/>
        <charset val="134"/>
      </rPr>
      <t xml:space="preserve">，透声欠佳，可见条状高回声，下腹可见散在片状液性暗区，右侧下腹肠管显示空虚感，回盲部位置偏高，向上中腹偏移，上腹肠管稍扩张，腹膜后未见明显局限性肿块图像。
</t>
    </r>
    <r>
      <rPr>
        <sz val="9"/>
        <rFont val="Arial"/>
        <charset val="1"/>
      </rPr>
      <t>CDFI:</t>
    </r>
    <r>
      <rPr>
        <sz val="9"/>
        <rFont val="Noto Sans CJK SC"/>
        <charset val="134"/>
      </rPr>
      <t>上述上腹部大血管位置显示欠清晰，走行略显紊乱。
【腹部大血管彩超</t>
    </r>
    <r>
      <rPr>
        <sz val="9"/>
        <rFont val="Arial"/>
        <charset val="1"/>
      </rPr>
      <t>(</t>
    </r>
    <r>
      <rPr>
        <sz val="9"/>
        <rFont val="Noto Sans CJK SC"/>
        <charset val="134"/>
      </rPr>
      <t>含腹膜后</t>
    </r>
    <r>
      <rPr>
        <sz val="9"/>
        <rFont val="Arial"/>
        <charset val="1"/>
      </rPr>
      <t>)</t>
    </r>
    <r>
      <rPr>
        <sz val="9"/>
        <rFont val="Noto Sans CJK SC"/>
        <charset val="134"/>
      </rPr>
      <t>】</t>
    </r>
  </si>
  <si>
    <r>
      <rPr>
        <sz val="9"/>
        <rFont val="Noto Sans CJK SC"/>
        <charset val="134"/>
      </rPr>
      <t>【胃肠道彩超</t>
    </r>
    <r>
      <rPr>
        <sz val="9"/>
        <rFont val="Arial"/>
        <charset val="1"/>
      </rPr>
      <t>(</t>
    </r>
    <r>
      <rPr>
        <sz val="9"/>
        <rFont val="Noto Sans CJK SC"/>
        <charset val="134"/>
      </rPr>
      <t>彩超</t>
    </r>
    <r>
      <rPr>
        <sz val="9"/>
        <rFont val="Arial"/>
        <charset val="1"/>
      </rPr>
      <t>)</t>
    </r>
    <r>
      <rPr>
        <sz val="9"/>
        <rFont val="Noto Sans CJK SC"/>
        <charset val="134"/>
      </rPr>
      <t>】（床边彩超）
肠旋转不良？（腹膜后大血管位置显示欠清晰，走行略显紊乱，扭转待排，建议结合临床）。
腹腔多处积液，积液较粘稠。
【腹部大血管彩超</t>
    </r>
    <r>
      <rPr>
        <sz val="9"/>
        <rFont val="Arial"/>
        <charset val="1"/>
      </rPr>
      <t>(</t>
    </r>
    <r>
      <rPr>
        <sz val="9"/>
        <rFont val="Noto Sans CJK SC"/>
        <charset val="134"/>
      </rPr>
      <t>含腹膜后</t>
    </r>
    <r>
      <rPr>
        <sz val="9"/>
        <rFont val="Arial"/>
        <charset val="1"/>
      </rPr>
      <t>)</t>
    </r>
    <r>
      <rPr>
        <sz val="9"/>
        <rFont val="Noto Sans CJK SC"/>
        <charset val="134"/>
      </rPr>
      <t>】</t>
    </r>
  </si>
  <si>
    <r>
      <rPr>
        <sz val="9"/>
        <rFont val="Noto Sans CJK SC"/>
        <charset val="134"/>
      </rPr>
      <t xml:space="preserve">夜间急诊超声所见：
上腹部充满气体强反射回声，幽门显示不清。
</t>
    </r>
    <r>
      <rPr>
        <sz val="9"/>
        <rFont val="Arial"/>
        <charset val="1"/>
      </rPr>
      <t>CDFI:</t>
    </r>
    <r>
      <rPr>
        <sz val="9"/>
        <rFont val="Noto Sans CJK SC"/>
        <charset val="134"/>
      </rPr>
      <t>患儿哭闹，上述部位血流信号杂乱。</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</si>
  <si>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
【胃肠道彩超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1.1cm</t>
    </r>
    <r>
      <rPr>
        <sz val="9"/>
        <rFont val="Noto Sans CJK SC"/>
        <charset val="134"/>
      </rPr>
      <t xml:space="preserve">。
双肾切面形态正常，集合系统光点群未见明显分离，肾实质内未见明显异常回声。
腹腔内可见较多肠气强反射回声，未见明显局限性肿块图像及积液征。
</t>
    </r>
    <r>
      <rPr>
        <sz val="9"/>
        <rFont val="Arial"/>
        <charset val="1"/>
      </rPr>
      <t>CDFI:</t>
    </r>
    <r>
      <rPr>
        <sz val="9"/>
        <rFont val="Noto Sans CJK SC"/>
        <charset val="134"/>
      </rPr>
      <t>上述部位未见异常血流信号。</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</si>
  <si>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】腹膜后未见明显异常。
【胃肠道彩超</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彩超</t>
    </r>
    <r>
      <rPr>
        <sz val="9"/>
        <rFont val="Arial"/>
        <charset val="1"/>
      </rPr>
      <t>),</t>
    </r>
    <r>
      <rPr>
        <sz val="9"/>
        <rFont val="Noto Sans CJK SC"/>
        <charset val="134"/>
      </rPr>
      <t>双肾及肾血管彩超】肝脏未见明显异常。
脾脏未见明显异常。
双肾未见明显异常。
腹腔内未见明显异常。</t>
    </r>
  </si>
  <si>
    <r>
      <rPr>
        <sz val="9"/>
        <rFont val="Noto Sans CJK SC"/>
        <charset val="134"/>
      </rPr>
      <t>夜间急诊超声所见：
中尚腹部可见一大小约</t>
    </r>
    <r>
      <rPr>
        <sz val="9"/>
        <rFont val="Arial"/>
        <charset val="1"/>
      </rPr>
      <t>2.9cm×2.5cm</t>
    </r>
    <r>
      <rPr>
        <sz val="9"/>
        <rFont val="Noto Sans CJK SC"/>
        <charset val="134"/>
      </rPr>
      <t xml:space="preserve">，边界尚清晰，内部回声呈强弱相间的漩涡状回声，内见扩张的血管环绕。回盲部位于右上腹。
</t>
    </r>
    <r>
      <rPr>
        <sz val="9"/>
        <rFont val="Arial"/>
        <charset val="1"/>
      </rPr>
      <t>CDFI</t>
    </r>
    <r>
      <rPr>
        <sz val="9"/>
        <rFont val="Noto Sans CJK SC"/>
        <charset val="134"/>
      </rPr>
      <t>：上述光团内见漩涡环绕的动静脉血流信号。</t>
    </r>
  </si>
  <si>
    <t>中腹部异常光团回声（先天性肠旋转不良伴中肠扭转多考虑）。</t>
  </si>
  <si>
    <r>
      <rPr>
        <sz val="9"/>
        <rFont val="Noto Sans CJK SC"/>
        <charset val="134"/>
      </rPr>
      <t>中上腹部可见一大小约</t>
    </r>
    <r>
      <rPr>
        <sz val="9"/>
        <rFont val="Arial"/>
        <charset val="1"/>
      </rPr>
      <t>2.0cm×2.4cm×2.5cm</t>
    </r>
    <r>
      <rPr>
        <sz val="9"/>
        <rFont val="Noto Sans CJK SC"/>
        <charset val="134"/>
      </rPr>
      <t xml:space="preserve">的光团回声，边界尚清晰，内部回声呈强弱相间的漩涡状回声，内见扩张的血管环绕。余腹未见明显局限性异常回声。
</t>
    </r>
    <r>
      <rPr>
        <sz val="9"/>
        <rFont val="Arial"/>
        <charset val="1"/>
      </rPr>
      <t>CDFI:</t>
    </r>
    <r>
      <rPr>
        <sz val="9"/>
        <rFont val="Noto Sans CJK SC"/>
        <charset val="134"/>
      </rPr>
      <t>上述部位短轴可见漩涡状血流信号，长轴可见螺旋状血流信号。</t>
    </r>
  </si>
  <si>
    <t>中上腹部异常光团回声（肠旋转不良）</t>
  </si>
  <si>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r>
      <rPr>
        <sz val="9"/>
        <rFont val="Arial"/>
        <charset val="1"/>
      </rPr>
      <t>(</t>
    </r>
    <r>
      <rPr>
        <sz val="9"/>
        <rFont val="Noto Sans CJK SC"/>
        <charset val="134"/>
      </rPr>
      <t>彩超</t>
    </r>
    <r>
      <rPr>
        <sz val="9"/>
        <rFont val="Arial"/>
        <charset val="1"/>
      </rPr>
      <t>)</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</si>
  <si>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】中上腹部可见一直径约</t>
    </r>
    <r>
      <rPr>
        <sz val="9"/>
        <rFont val="Arial"/>
        <charset val="1"/>
      </rPr>
      <t>2.4cm</t>
    </r>
    <r>
      <rPr>
        <sz val="9"/>
        <rFont val="Noto Sans CJK SC"/>
        <charset val="134"/>
      </rPr>
      <t xml:space="preserve">的团块回声，边界尚清晰，内部回声呈强弱相间的漩涡状回声，内见扩张的血管环绕。
</t>
    </r>
    <r>
      <rPr>
        <sz val="9"/>
        <rFont val="Arial"/>
        <charset val="1"/>
      </rPr>
      <t>CDFI</t>
    </r>
    <r>
      <rPr>
        <sz val="9"/>
        <rFont val="Noto Sans CJK SC"/>
        <charset val="134"/>
      </rPr>
      <t>：上述团块内可见漩涡状血流信号。
【胃肠道彩超</t>
    </r>
    <r>
      <rPr>
        <sz val="9"/>
        <rFont val="Arial"/>
        <charset val="1"/>
      </rPr>
      <t>(</t>
    </r>
    <r>
      <rPr>
        <sz val="9"/>
        <rFont val="Noto Sans CJK SC"/>
        <charset val="134"/>
      </rPr>
      <t>彩超</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</si>
  <si>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】中上腹部包块，内见漩涡样血管（考虑为肠旋转不良）
【胃肠道彩超</t>
    </r>
    <r>
      <rPr>
        <sz val="9"/>
        <rFont val="Arial"/>
        <charset val="1"/>
      </rPr>
      <t>(</t>
    </r>
    <r>
      <rPr>
        <sz val="9"/>
        <rFont val="Noto Sans CJK SC"/>
        <charset val="134"/>
      </rPr>
      <t>彩超</t>
    </r>
    <r>
      <rPr>
        <sz val="9"/>
        <rFont val="Arial"/>
        <charset val="1"/>
      </rPr>
      <t>)</t>
    </r>
    <r>
      <rPr>
        <sz val="9"/>
        <rFont val="Noto Sans CJK SC"/>
        <charset val="134"/>
      </rPr>
      <t>】腹膜后未见明显异常。</t>
    </r>
  </si>
  <si>
    <r>
      <rPr>
        <sz val="9"/>
        <rFont val="Noto Sans CJK SC"/>
        <charset val="134"/>
      </rPr>
      <t>幽门彩超；胃肠道彩超</t>
    </r>
    <r>
      <rPr>
        <sz val="9"/>
        <rFont val="Arial"/>
        <charset val="1"/>
      </rPr>
      <t>(</t>
    </r>
    <r>
      <rPr>
        <sz val="9"/>
        <rFont val="Noto Sans CJK SC"/>
        <charset val="134"/>
      </rPr>
      <t>彩超</t>
    </r>
    <r>
      <rPr>
        <sz val="9"/>
        <rFont val="Arial"/>
        <charset val="1"/>
      </rPr>
      <t>)</t>
    </r>
  </si>
  <si>
    <r>
      <rPr>
        <sz val="9"/>
        <rFont val="Noto Sans CJK SC"/>
        <charset val="134"/>
      </rPr>
      <t xml:space="preserve">【幽门彩超】夜间门急诊超声所见：
幽门区未见明显局限性肿块图像。
</t>
    </r>
    <r>
      <rPr>
        <sz val="9"/>
        <rFont val="Arial"/>
        <charset val="1"/>
      </rPr>
      <t>CDFI:</t>
    </r>
    <r>
      <rPr>
        <sz val="9"/>
        <rFont val="Noto Sans CJK SC"/>
        <charset val="134"/>
      </rPr>
      <t>上述部位未见明显异常血流信号。
【胃肠道彩超</t>
    </r>
    <r>
      <rPr>
        <sz val="9"/>
        <rFont val="Arial"/>
        <charset val="1"/>
      </rPr>
      <t>(</t>
    </r>
    <r>
      <rPr>
        <sz val="9"/>
        <rFont val="Noto Sans CJK SC"/>
        <charset val="134"/>
      </rPr>
      <t>彩超</t>
    </r>
    <r>
      <rPr>
        <sz val="9"/>
        <rFont val="Arial"/>
        <charset val="1"/>
      </rPr>
      <t>)</t>
    </r>
    <r>
      <rPr>
        <sz val="9"/>
        <rFont val="Noto Sans CJK SC"/>
        <charset val="134"/>
      </rPr>
      <t>】夜间门急诊超声所见：
中上腹部可见一大小约</t>
    </r>
    <r>
      <rPr>
        <sz val="9"/>
        <rFont val="Arial"/>
        <charset val="1"/>
      </rPr>
      <t>2.3cm×2.0cm</t>
    </r>
    <r>
      <rPr>
        <sz val="9"/>
        <rFont val="Noto Sans CJK SC"/>
        <charset val="134"/>
      </rPr>
      <t xml:space="preserve">的光团回声，边界尚清晰，内部回声呈强弱相间的漩涡状回声，余腹未见明显局限性肿块图像及积液征。
</t>
    </r>
    <r>
      <rPr>
        <sz val="9"/>
        <rFont val="Arial"/>
        <charset val="1"/>
      </rPr>
      <t>CDFI:</t>
    </r>
    <r>
      <rPr>
        <sz val="9"/>
        <rFont val="Noto Sans CJK SC"/>
        <charset val="134"/>
      </rPr>
      <t>上述部位短轴可见漩涡状血流信号。</t>
    </r>
  </si>
  <si>
    <r>
      <rPr>
        <sz val="9"/>
        <rFont val="Noto Sans CJK SC"/>
        <charset val="134"/>
      </rPr>
      <t>【幽门彩超】幽门未见明显异常。
【胃肠道彩超</t>
    </r>
    <r>
      <rPr>
        <sz val="9"/>
        <rFont val="Arial"/>
        <charset val="1"/>
      </rPr>
      <t>(</t>
    </r>
    <r>
      <rPr>
        <sz val="9"/>
        <rFont val="Noto Sans CJK SC"/>
        <charset val="134"/>
      </rPr>
      <t>彩超</t>
    </r>
    <r>
      <rPr>
        <sz val="9"/>
        <rFont val="Arial"/>
        <charset val="1"/>
      </rPr>
      <t>)</t>
    </r>
    <r>
      <rPr>
        <sz val="9"/>
        <rFont val="Noto Sans CJK SC"/>
        <charset val="134"/>
      </rPr>
      <t>】中上腹异常回声（肠旋转不良首先考虑，请结合临床）</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</si>
  <si>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】腹膜后腹主动脉走行未见异常，其前方肠系膜血管见腹部超声。
</t>
    </r>
    <r>
      <rPr>
        <sz val="9"/>
        <rFont val="Arial"/>
        <charset val="1"/>
      </rPr>
      <t>CDFI:</t>
    </r>
    <r>
      <rPr>
        <sz val="9"/>
        <rFont val="Noto Sans CJK SC"/>
        <charset val="134"/>
      </rPr>
      <t>上述部位未见明显异常血流信号。
【胃肠道彩超</t>
    </r>
    <r>
      <rPr>
        <sz val="9"/>
        <rFont val="Arial"/>
        <charset val="1"/>
      </rPr>
      <t>(</t>
    </r>
    <r>
      <rPr>
        <sz val="9"/>
        <rFont val="Noto Sans CJK SC"/>
        <charset val="134"/>
      </rPr>
      <t>彩超</t>
    </r>
    <r>
      <rPr>
        <sz val="9"/>
        <rFont val="Arial"/>
        <charset val="1"/>
      </rPr>
      <t>)</t>
    </r>
    <r>
      <rPr>
        <sz val="9"/>
        <rFont val="Noto Sans CJK SC"/>
        <charset val="134"/>
      </rPr>
      <t>】腹部扫查：
中上腹见一大小约</t>
    </r>
    <r>
      <rPr>
        <sz val="9"/>
        <rFont val="Arial"/>
        <charset val="1"/>
      </rPr>
      <t>3.0cm×2.0cm</t>
    </r>
    <r>
      <rPr>
        <sz val="9"/>
        <rFont val="Noto Sans CJK SC"/>
        <charset val="134"/>
      </rPr>
      <t xml:space="preserve">的低回声光团，边界尚清晰，内部回声不均，可见肠管层次结构及气体反射回声，呈螺旋状走行，内见管状无回声。
</t>
    </r>
    <r>
      <rPr>
        <sz val="9"/>
        <rFont val="Arial"/>
        <charset val="1"/>
      </rPr>
      <t xml:space="preserve">CDFI: </t>
    </r>
    <r>
      <rPr>
        <sz val="9"/>
        <rFont val="Noto Sans CJK SC"/>
        <charset val="134"/>
      </rPr>
      <t>上述光团内见肠系膜上动、静脉交织扭曲呈螺旋状走行。</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</si>
  <si>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】腹膜后未见明显异常。
【胃肠道彩超</t>
    </r>
    <r>
      <rPr>
        <sz val="9"/>
        <rFont val="Arial"/>
        <charset val="1"/>
      </rPr>
      <t>(</t>
    </r>
    <r>
      <rPr>
        <sz val="9"/>
        <rFont val="Noto Sans CJK SC"/>
        <charset val="134"/>
      </rPr>
      <t>彩超</t>
    </r>
    <r>
      <rPr>
        <sz val="9"/>
        <rFont val="Arial"/>
        <charset val="1"/>
      </rPr>
      <t>)</t>
    </r>
    <r>
      <rPr>
        <sz val="9"/>
        <rFont val="Noto Sans CJK SC"/>
        <charset val="134"/>
      </rPr>
      <t>】中上腹非均质性团块回声：肠旋转不良</t>
    </r>
  </si>
  <si>
    <r>
      <rPr>
        <sz val="9"/>
        <rFont val="Noto Sans CJK SC"/>
        <charset val="134"/>
      </rPr>
      <t>腹部气体干扰较多，于上腹部可见一范围约</t>
    </r>
    <r>
      <rPr>
        <sz val="9"/>
        <rFont val="Arial"/>
        <charset val="1"/>
      </rPr>
      <t>2.2cm×2.0cm</t>
    </r>
    <r>
      <rPr>
        <sz val="9"/>
        <rFont val="Noto Sans CJK SC"/>
        <charset val="134"/>
      </rPr>
      <t xml:space="preserve">的类“靶环征”，腹膜后大血管旁及其间隙内未见明显局限性肿块图像。
</t>
    </r>
    <r>
      <rPr>
        <sz val="9"/>
        <rFont val="Arial"/>
        <charset val="1"/>
      </rPr>
      <t>CDFI</t>
    </r>
    <r>
      <rPr>
        <sz val="9"/>
        <rFont val="Noto Sans CJK SC"/>
        <charset val="134"/>
      </rPr>
      <t>：上述类“靶环征”上似可见一动脉血流信号，周边环绕静脉血流信号。</t>
    </r>
  </si>
  <si>
    <t>上腹部异常光团回声（肠旋转不良多考虑）</t>
  </si>
  <si>
    <r>
      <rPr>
        <sz val="9"/>
        <rFont val="Noto Sans CJK SC"/>
        <charset val="134"/>
      </rPr>
      <t>夜间急诊超声所见：
中下腹局限性肠管扩张，较宽处内径约</t>
    </r>
    <r>
      <rPr>
        <sz val="9"/>
        <rFont val="Arial"/>
        <charset val="1"/>
      </rPr>
      <t>2.9cm</t>
    </r>
    <r>
      <rPr>
        <sz val="9"/>
        <rFont val="Noto Sans CJK SC"/>
        <charset val="134"/>
      </rPr>
      <t xml:space="preserve">，肠腔内积液、充满肠内容物样光点群回声，肠蠕动不明显，余腹未见明显局限性肿块图像。
</t>
    </r>
    <r>
      <rPr>
        <sz val="9"/>
        <rFont val="Arial"/>
        <charset val="1"/>
      </rPr>
      <t>CDFI:</t>
    </r>
    <r>
      <rPr>
        <sz val="9"/>
        <rFont val="Noto Sans CJK SC"/>
        <charset val="134"/>
      </rPr>
      <t>上述部位未见明显异常血流信号。</t>
    </r>
  </si>
  <si>
    <t>局限性肠管扩张：小肠梗阻？</t>
  </si>
  <si>
    <r>
      <rPr>
        <sz val="9"/>
        <rFont val="Noto Sans CJK SC"/>
        <charset val="134"/>
      </rPr>
      <t>右上腹见幽门肌层厚</t>
    </r>
    <r>
      <rPr>
        <sz val="9"/>
        <rFont val="Arial"/>
        <charset val="1"/>
      </rPr>
      <t>0.3cm</t>
    </r>
    <r>
      <rPr>
        <sz val="9"/>
        <rFont val="Noto Sans CJK SC"/>
        <charset val="134"/>
      </rPr>
      <t xml:space="preserve">。
</t>
    </r>
    <r>
      <rPr>
        <sz val="9"/>
        <rFont val="Arial"/>
        <charset val="1"/>
      </rPr>
      <t>CDFI:</t>
    </r>
    <r>
      <rPr>
        <sz val="9"/>
        <rFont val="Noto Sans CJK SC"/>
        <charset val="134"/>
      </rPr>
      <t>上述部位未见异常血流信号。</t>
    </r>
  </si>
  <si>
    <t>幽门肌层测值不厚，请结合临床。</t>
  </si>
  <si>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
【胃肠道彩超</t>
    </r>
    <r>
      <rPr>
        <sz val="9"/>
        <rFont val="Arial"/>
        <charset val="1"/>
      </rPr>
      <t>(</t>
    </r>
    <r>
      <rPr>
        <sz val="9"/>
        <rFont val="Noto Sans CJK SC"/>
        <charset val="134"/>
      </rPr>
      <t>彩超</t>
    </r>
    <r>
      <rPr>
        <sz val="9"/>
        <rFont val="Arial"/>
        <charset val="1"/>
      </rPr>
      <t>)</t>
    </r>
    <r>
      <rPr>
        <sz val="9"/>
        <rFont val="Noto Sans CJK SC"/>
        <charset val="134"/>
      </rPr>
      <t>】上腹部气体干扰较多，脐上可见一大小约</t>
    </r>
    <r>
      <rPr>
        <sz val="9"/>
        <rFont val="Arial"/>
        <charset val="1"/>
      </rPr>
      <t>2.9cm×2.6cm</t>
    </r>
    <r>
      <rPr>
        <sz val="9"/>
        <rFont val="Noto Sans CJK SC"/>
        <charset val="134"/>
      </rPr>
      <t>的类</t>
    </r>
    <r>
      <rPr>
        <sz val="9"/>
        <rFont val="Arial"/>
        <charset val="1"/>
      </rPr>
      <t>"</t>
    </r>
    <r>
      <rPr>
        <sz val="9"/>
        <rFont val="Noto Sans CJK SC"/>
        <charset val="134"/>
      </rPr>
      <t>靶环征</t>
    </r>
    <r>
      <rPr>
        <sz val="9"/>
        <rFont val="Arial"/>
        <charset val="1"/>
      </rPr>
      <t>"</t>
    </r>
    <r>
      <rPr>
        <sz val="9"/>
        <rFont val="Noto Sans CJK SC"/>
        <charset val="134"/>
      </rPr>
      <t>，边界尚清晰，内见扩张的血管环绕，下腹部肠间可见游离性无回声区，较大前后径约</t>
    </r>
    <r>
      <rPr>
        <sz val="9"/>
        <rFont val="Arial"/>
        <charset val="1"/>
      </rPr>
      <t>0.9cm</t>
    </r>
    <r>
      <rPr>
        <sz val="9"/>
        <rFont val="Noto Sans CJK SC"/>
        <charset val="134"/>
      </rPr>
      <t xml:space="preserve">，余腹未见明显局限性异常回声。
</t>
    </r>
    <r>
      <rPr>
        <sz val="9"/>
        <rFont val="Arial"/>
        <charset val="1"/>
      </rPr>
      <t>CDFI</t>
    </r>
    <r>
      <rPr>
        <sz val="9"/>
        <rFont val="Noto Sans CJK SC"/>
        <charset val="134"/>
      </rPr>
      <t>：上述类</t>
    </r>
    <r>
      <rPr>
        <sz val="9"/>
        <rFont val="Arial"/>
        <charset val="1"/>
      </rPr>
      <t>"</t>
    </r>
    <r>
      <rPr>
        <sz val="9"/>
        <rFont val="Noto Sans CJK SC"/>
        <charset val="134"/>
      </rPr>
      <t>靶环征</t>
    </r>
    <r>
      <rPr>
        <sz val="9"/>
        <rFont val="Arial"/>
        <charset val="1"/>
      </rPr>
      <t>"</t>
    </r>
    <r>
      <rPr>
        <sz val="9"/>
        <rFont val="Noto Sans CJK SC"/>
        <charset val="134"/>
      </rPr>
      <t>上似可见漩涡状血流信号。</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</si>
  <si>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】腹膜后未见明显肿块。
【胃肠道彩超</t>
    </r>
    <r>
      <rPr>
        <sz val="9"/>
        <rFont val="Arial"/>
        <charset val="1"/>
      </rPr>
      <t>(</t>
    </r>
    <r>
      <rPr>
        <sz val="9"/>
        <rFont val="Noto Sans CJK SC"/>
        <charset val="134"/>
      </rPr>
      <t>彩超</t>
    </r>
    <r>
      <rPr>
        <sz val="9"/>
        <rFont val="Arial"/>
        <charset val="1"/>
      </rPr>
      <t>)</t>
    </r>
    <r>
      <rPr>
        <sz val="9"/>
        <rFont val="Noto Sans CJK SC"/>
        <charset val="134"/>
      </rPr>
      <t>】中腹部异常光团回声（肠旋转不良多考虑）。
腹腔少量游离性积液。</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</si>
  <si>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</si>
  <si>
    <r>
      <rPr>
        <sz val="9"/>
        <rFont val="Noto Sans CJK SC"/>
        <charset val="134"/>
      </rPr>
      <t>腹部气体干扰较多，脐上可见一大小约</t>
    </r>
    <r>
      <rPr>
        <sz val="9"/>
        <rFont val="Arial"/>
        <charset val="1"/>
      </rPr>
      <t>1.5cm×1.5cm</t>
    </r>
    <r>
      <rPr>
        <sz val="9"/>
        <rFont val="Noto Sans CJK SC"/>
        <charset val="134"/>
      </rPr>
      <t xml:space="preserve">的类“靶环征”，余腹腔未见明显肿块及积液征。
腹膜后大血管旁及其间隙内未见明显局限性肿块图像。
</t>
    </r>
    <r>
      <rPr>
        <sz val="9"/>
        <rFont val="Arial"/>
        <charset val="1"/>
      </rPr>
      <t>CDFI</t>
    </r>
    <r>
      <rPr>
        <sz val="9"/>
        <rFont val="Noto Sans CJK SC"/>
        <charset val="134"/>
      </rPr>
      <t>：上述类“靶环征”内可见漩涡状血流信号。</t>
    </r>
  </si>
  <si>
    <t>中上腹部异常光团回声（肠旋转不良可能）。
腹膜后目前未见明显异常。</t>
  </si>
  <si>
    <r>
      <rPr>
        <sz val="9"/>
        <rFont val="Noto Sans CJK SC"/>
        <charset val="134"/>
      </rPr>
      <t>上腹部可见一直径约</t>
    </r>
    <r>
      <rPr>
        <sz val="9"/>
        <rFont val="Arial"/>
        <charset val="1"/>
      </rPr>
      <t>1.5cm</t>
    </r>
    <r>
      <rPr>
        <sz val="9"/>
        <rFont val="Noto Sans CJK SC"/>
        <charset val="134"/>
      </rPr>
      <t xml:space="preserve">混合回声团，内部回声呈强弱相间的漩涡状回声，内见扩张的血管环绕。上端肠管及胃内可见液性无回声，并见散在细小强光点回声漂浮移动。余腹未见明显局限性异常回声。
</t>
    </r>
    <r>
      <rPr>
        <sz val="9"/>
        <rFont val="Arial"/>
        <charset val="1"/>
      </rPr>
      <t>CDFI</t>
    </r>
    <r>
      <rPr>
        <sz val="9"/>
        <rFont val="Noto Sans CJK SC"/>
        <charset val="134"/>
      </rPr>
      <t>：上述光团内见漩涡环绕的动静脉血流信号。</t>
    </r>
  </si>
  <si>
    <t>中腹部异常光团回声，考虑为肠旋转不良。</t>
  </si>
  <si>
    <r>
      <rPr>
        <sz val="9"/>
        <rFont val="Noto Sans CJK SC"/>
        <charset val="134"/>
      </rPr>
      <t>患儿腹腔内可见较多气体强回声反射，以中上腹及右侧腹为甚，后方结构显示稍受遮挡，肠系膜上动脉起源正常，距其起源约</t>
    </r>
    <r>
      <rPr>
        <sz val="9"/>
        <rFont val="Arial"/>
        <charset val="1"/>
      </rPr>
      <t>1.2cm</t>
    </r>
    <r>
      <rPr>
        <sz val="9"/>
        <rFont val="Noto Sans CJK SC"/>
        <charset val="134"/>
      </rPr>
      <t xml:space="preserve">处可见“漩涡征”结构，余腹膜后未见明显异常。
</t>
    </r>
    <r>
      <rPr>
        <sz val="9"/>
        <rFont val="Arial"/>
        <charset val="1"/>
      </rPr>
      <t>CDFI</t>
    </r>
    <r>
      <rPr>
        <sz val="9"/>
        <rFont val="Noto Sans CJK SC"/>
        <charset val="134"/>
      </rPr>
      <t>及</t>
    </r>
    <r>
      <rPr>
        <sz val="9"/>
        <rFont val="Arial"/>
        <charset val="1"/>
      </rPr>
      <t>PW</t>
    </r>
    <r>
      <rPr>
        <sz val="9"/>
        <rFont val="Noto Sans CJK SC"/>
        <charset val="134"/>
      </rPr>
      <t>：上述“漩涡征”结构处可见静脉血管环绕肠系膜上动脉走形，余未见明显异常血流信号。</t>
    </r>
  </si>
  <si>
    <t>右上腹“旋涡征”：先天性肠旋转不良可能，请结合临床。</t>
  </si>
  <si>
    <r>
      <rPr>
        <sz val="9"/>
        <rFont val="Noto Sans CJK SC"/>
        <charset val="134"/>
      </rPr>
      <t>夜间急诊超声所见：
中上腹部可见截面积大小约</t>
    </r>
    <r>
      <rPr>
        <sz val="9"/>
        <rFont val="Arial"/>
        <charset val="1"/>
      </rPr>
      <t>3.0cm×2.3cm</t>
    </r>
    <r>
      <rPr>
        <sz val="9"/>
        <rFont val="Noto Sans CJK SC"/>
        <charset val="134"/>
      </rPr>
      <t xml:space="preserve">的光团回声，边界尚清晰，内部回声呈强弱相间的漩涡状回声，内见扩张的血管环绕。远端肠管萎瘪，未见明显肠内容物。余腹膜后未见明显异常局限性包块及积液征。
</t>
    </r>
    <r>
      <rPr>
        <sz val="9"/>
        <rFont val="Arial"/>
        <charset val="1"/>
      </rPr>
      <t>CDFI</t>
    </r>
    <r>
      <rPr>
        <sz val="9"/>
        <rFont val="Noto Sans CJK SC"/>
        <charset val="134"/>
      </rPr>
      <t>：上述光团内见漩涡环绕的动静脉血流信号。</t>
    </r>
  </si>
  <si>
    <t>上腹异常光团：先天性肠旋转不良首先考虑。</t>
  </si>
  <si>
    <r>
      <rPr>
        <sz val="9"/>
        <rFont val="Noto Sans CJK SC"/>
        <charset val="134"/>
      </rPr>
      <t xml:space="preserve">腹膜后大血管旁及其间隙内因气体干扰，部分切面探及不满意，所示切面未见明显局限性肿块图像。
腹腔内可见较多肠气强反射回声，未见明显局限性肿块图像及积液征。
</t>
    </r>
    <r>
      <rPr>
        <sz val="9"/>
        <rFont val="Arial"/>
        <charset val="1"/>
      </rPr>
      <t>CDFI:</t>
    </r>
    <r>
      <rPr>
        <sz val="9"/>
        <rFont val="Noto Sans CJK SC"/>
        <charset val="134"/>
      </rPr>
      <t>上述部位未见明显异常血流信号。</t>
    </r>
  </si>
  <si>
    <t>腹膜后所示切面未见明显异常。
肠积气。</t>
  </si>
  <si>
    <r>
      <rPr>
        <sz val="9"/>
        <rFont val="Noto Sans CJK SC"/>
        <charset val="134"/>
      </rPr>
      <t>胃肠道彩超；腹部大血管彩超</t>
    </r>
    <r>
      <rPr>
        <sz val="9"/>
        <rFont val="Arial"/>
        <charset val="1"/>
      </rPr>
      <t>(</t>
    </r>
    <r>
      <rPr>
        <sz val="9"/>
        <rFont val="Noto Sans CJK SC"/>
        <charset val="134"/>
      </rPr>
      <t>含腹膜后</t>
    </r>
    <r>
      <rPr>
        <sz val="9"/>
        <rFont val="Arial"/>
        <charset val="1"/>
      </rPr>
      <t>)</t>
    </r>
  </si>
  <si>
    <r>
      <rPr>
        <sz val="9"/>
        <rFont val="Noto Sans CJK SC"/>
        <charset val="134"/>
      </rPr>
      <t xml:space="preserve">【胃肠道彩超】脐上肠系膜上动脉及静脉稍具旋转感，未见典型“靶环征”，胃腔、十二指肠液体充盈，水平部可见穿过肠系膜上动脉及腹主动脉之间向左上腹走行，十二指肠与空肠交界处可见明显分界，空肠回肠萎瘪，余腹未见明显局限性异常包块回声及积液征。
</t>
    </r>
    <r>
      <rPr>
        <sz val="9"/>
        <rFont val="Arial"/>
        <charset val="1"/>
      </rPr>
      <t>CDFI:</t>
    </r>
    <r>
      <rPr>
        <sz val="9"/>
        <rFont val="Noto Sans CJK SC"/>
        <charset val="134"/>
      </rPr>
      <t>上述部位未见明显异常血流信号。
【腹部大血管彩超</t>
    </r>
    <r>
      <rPr>
        <sz val="9"/>
        <rFont val="Arial"/>
        <charset val="1"/>
      </rPr>
      <t>(</t>
    </r>
    <r>
      <rPr>
        <sz val="9"/>
        <rFont val="Noto Sans CJK SC"/>
        <charset val="134"/>
      </rPr>
      <t>含腹膜后</t>
    </r>
    <r>
      <rPr>
        <sz val="9"/>
        <rFont val="Arial"/>
        <charset val="1"/>
      </rPr>
      <t>)</t>
    </r>
    <r>
      <rPr>
        <sz val="9"/>
        <rFont val="Noto Sans CJK SC"/>
        <charset val="134"/>
      </rPr>
      <t>】脐上肠系膜上动脉及静脉稍具旋转感，未见典型</t>
    </r>
    <r>
      <rPr>
        <sz val="9"/>
        <rFont val="Arial"/>
        <charset val="1"/>
      </rPr>
      <t>"</t>
    </r>
    <r>
      <rPr>
        <sz val="9"/>
        <rFont val="Noto Sans CJK SC"/>
        <charset val="134"/>
      </rPr>
      <t>靶环征</t>
    </r>
    <r>
      <rPr>
        <sz val="9"/>
        <rFont val="Arial"/>
        <charset val="1"/>
      </rPr>
      <t>"</t>
    </r>
    <r>
      <rPr>
        <sz val="9"/>
        <rFont val="Noto Sans CJK SC"/>
        <charset val="134"/>
      </rPr>
      <t xml:space="preserve">，余腹膜后大血管旁及其间隙内未见明显局限性肿块图像。
</t>
    </r>
    <r>
      <rPr>
        <sz val="9"/>
        <rFont val="Arial"/>
        <charset val="1"/>
      </rPr>
      <t>CDFI:</t>
    </r>
    <r>
      <rPr>
        <sz val="9"/>
        <rFont val="Noto Sans CJK SC"/>
        <charset val="134"/>
      </rPr>
      <t>上述部位未见明显异常血流信号。</t>
    </r>
  </si>
  <si>
    <r>
      <rPr>
        <sz val="9"/>
        <rFont val="Noto Sans CJK SC"/>
        <charset val="134"/>
      </rPr>
      <t>【胃肠道彩超】胃、十二指肠充盈，空肠回肠萎瘪（十二指肠</t>
    </r>
    <r>
      <rPr>
        <sz val="9"/>
        <rFont val="Arial"/>
        <charset val="1"/>
      </rPr>
      <t>-</t>
    </r>
    <r>
      <rPr>
        <sz val="9"/>
        <rFont val="Noto Sans CJK SC"/>
        <charset val="134"/>
      </rPr>
      <t>空肠交界处梗阻多考虑，请结合临床）。
脐上肠系膜上动脉及静脉稍具旋转感（不典型肠旋转不良可能）。
【腹部大血管彩超</t>
    </r>
    <r>
      <rPr>
        <sz val="9"/>
        <rFont val="Arial"/>
        <charset val="1"/>
      </rPr>
      <t>(</t>
    </r>
    <r>
      <rPr>
        <sz val="9"/>
        <rFont val="Noto Sans CJK SC"/>
        <charset val="134"/>
      </rPr>
      <t>含腹膜后</t>
    </r>
    <r>
      <rPr>
        <sz val="9"/>
        <rFont val="Arial"/>
        <charset val="1"/>
      </rPr>
      <t>)</t>
    </r>
    <r>
      <rPr>
        <sz val="9"/>
        <rFont val="Noto Sans CJK SC"/>
        <charset val="134"/>
      </rPr>
      <t>】脐上肠系膜上动脉及静脉稍具旋转感（不典型肠旋转不良可能）。
余腹膜后未见明显异常。</t>
    </r>
  </si>
  <si>
    <r>
      <rPr>
        <sz val="9"/>
        <rFont val="Noto Sans CJK SC"/>
        <charset val="134"/>
      </rPr>
      <t>上腹部脐上可见一范围约</t>
    </r>
    <r>
      <rPr>
        <sz val="9"/>
        <rFont val="Arial"/>
        <charset val="1"/>
      </rPr>
      <t>2.2cm×1.7cm</t>
    </r>
    <r>
      <rPr>
        <sz val="9"/>
        <rFont val="Noto Sans CJK SC"/>
        <charset val="134"/>
      </rPr>
      <t xml:space="preserve">的类“靶环征”，余腹膜后大血管旁及其间隙内未见明显局限性肿块图像。
</t>
    </r>
    <r>
      <rPr>
        <sz val="9"/>
        <rFont val="Arial"/>
        <charset val="1"/>
      </rPr>
      <t>CDFI</t>
    </r>
    <r>
      <rPr>
        <sz val="9"/>
        <rFont val="Noto Sans CJK SC"/>
        <charset val="134"/>
      </rPr>
      <t>：上述类“靶环征”上似可见漩涡状血流信号。</t>
    </r>
  </si>
  <si>
    <t>上腹部异常光团回声（肠旋转不良合并中肠扭转可能性大）</t>
  </si>
  <si>
    <r>
      <rPr>
        <sz val="9"/>
        <rFont val="Noto Sans CJK SC"/>
        <charset val="134"/>
      </rPr>
      <t>夜间急诊超声所见：
中腹部可见一大小约</t>
    </r>
    <r>
      <rPr>
        <sz val="9"/>
        <rFont val="Arial"/>
        <charset val="1"/>
      </rPr>
      <t>2.2cm×1.9cm</t>
    </r>
    <r>
      <rPr>
        <sz val="9"/>
        <rFont val="Noto Sans CJK SC"/>
        <charset val="134"/>
      </rPr>
      <t xml:space="preserve">的光团回声，边界尚清晰，呈漩涡状，内见扩张的血管环绕。余腹见较多气体回声。
</t>
    </r>
    <r>
      <rPr>
        <sz val="9"/>
        <rFont val="Arial"/>
        <charset val="1"/>
      </rPr>
      <t>CDFI:</t>
    </r>
    <r>
      <rPr>
        <sz val="9"/>
        <rFont val="Noto Sans CJK SC"/>
        <charset val="134"/>
      </rPr>
      <t>患儿哭闹，上述部位血流信号较杂乱。</t>
    </r>
  </si>
  <si>
    <t>中腹部异常回声（肠旋转不良可能）。</t>
  </si>
  <si>
    <r>
      <rPr>
        <sz val="9"/>
        <rFont val="Noto Sans CJK SC"/>
        <charset val="134"/>
      </rPr>
      <t xml:space="preserve">腹腔内可见较多气体强反射回声，以中上腹为甚，后方结构部分被遮挡，可显示腹膜后大血管旁及其间隙内未见明显局限性肿块图像。
</t>
    </r>
    <r>
      <rPr>
        <sz val="9"/>
        <rFont val="Arial"/>
        <charset val="1"/>
      </rPr>
      <t>CDFI:</t>
    </r>
    <r>
      <rPr>
        <sz val="9"/>
        <rFont val="Noto Sans CJK SC"/>
        <charset val="134"/>
      </rPr>
      <t>上述部位未见明显异常血流信号。</t>
    </r>
  </si>
  <si>
    <t>可显示腹膜后未见明显异常。
肠积气。</t>
  </si>
  <si>
    <r>
      <rPr>
        <sz val="9"/>
        <rFont val="Noto Sans CJK SC"/>
        <charset val="134"/>
      </rPr>
      <t>【胃肠道彩超】夜间急诊超声所见：
腹腔肠间可见前后径约</t>
    </r>
    <r>
      <rPr>
        <sz val="9"/>
        <rFont val="Arial"/>
        <charset val="1"/>
      </rPr>
      <t>1.2cm</t>
    </r>
    <r>
      <rPr>
        <sz val="9"/>
        <rFont val="Noto Sans CJK SC"/>
        <charset val="134"/>
      </rPr>
      <t>无回声区，透声尚可，腹腔未见明显</t>
    </r>
    <r>
      <rPr>
        <sz val="9"/>
        <rFont val="Arial"/>
        <charset val="1"/>
      </rPr>
      <t>"</t>
    </r>
    <r>
      <rPr>
        <sz val="9"/>
        <rFont val="Noto Sans CJK SC"/>
        <charset val="134"/>
      </rPr>
      <t>同心圆</t>
    </r>
    <r>
      <rPr>
        <sz val="9"/>
        <rFont val="Arial"/>
        <charset val="1"/>
      </rPr>
      <t>"</t>
    </r>
    <r>
      <rPr>
        <sz val="9"/>
        <rFont val="Noto Sans CJK SC"/>
        <charset val="134"/>
      </rPr>
      <t xml:space="preserve">征象，未见明显积液扩张的肠襻，未见脓肿，腹腔内未见游离液性暗区。
</t>
    </r>
    <r>
      <rPr>
        <sz val="9"/>
        <rFont val="Arial"/>
        <charset val="1"/>
      </rPr>
      <t>CDFI:</t>
    </r>
    <r>
      <rPr>
        <sz val="9"/>
        <rFont val="Noto Sans CJK SC"/>
        <charset val="134"/>
      </rPr>
      <t>上述部位未见明显异常血流信号。
【腹部大血管彩超</t>
    </r>
    <r>
      <rPr>
        <sz val="9"/>
        <rFont val="Arial"/>
        <charset val="1"/>
      </rPr>
      <t>(</t>
    </r>
    <r>
      <rPr>
        <sz val="9"/>
        <rFont val="Noto Sans CJK SC"/>
        <charset val="134"/>
      </rPr>
      <t>含腹膜后</t>
    </r>
    <r>
      <rPr>
        <sz val="9"/>
        <rFont val="Arial"/>
        <charset val="1"/>
      </rPr>
      <t>)</t>
    </r>
    <r>
      <rPr>
        <sz val="9"/>
        <rFont val="Noto Sans CJK SC"/>
        <charset val="134"/>
      </rPr>
      <t>】夜间急诊超声所见：
中上腹部可见一大小约</t>
    </r>
    <r>
      <rPr>
        <sz val="9"/>
        <rFont val="Arial"/>
        <charset val="1"/>
      </rPr>
      <t>2.2cm×1.6cm</t>
    </r>
    <r>
      <rPr>
        <sz val="9"/>
        <rFont val="Noto Sans CJK SC"/>
        <charset val="134"/>
      </rPr>
      <t xml:space="preserve">的光团回声，内部回声呈强弱相间的漩涡状回声，内见扩张的血管环绕。上端肠管及胃未见明显扩张，余腹未见明显局限性异常回声。
</t>
    </r>
    <r>
      <rPr>
        <sz val="9"/>
        <rFont val="Arial"/>
        <charset val="1"/>
      </rPr>
      <t>CDFI</t>
    </r>
    <r>
      <rPr>
        <sz val="9"/>
        <rFont val="Noto Sans CJK SC"/>
        <charset val="134"/>
      </rPr>
      <t>：上述光团内见漩涡环绕的动静脉血流信号。</t>
    </r>
  </si>
  <si>
    <r>
      <rPr>
        <sz val="9"/>
        <rFont val="Noto Sans CJK SC"/>
        <charset val="134"/>
      </rPr>
      <t>【胃肠道彩超】腹腔少量积液。
【腹部大血管彩超</t>
    </r>
    <r>
      <rPr>
        <sz val="9"/>
        <rFont val="Arial"/>
        <charset val="1"/>
      </rPr>
      <t>(</t>
    </r>
    <r>
      <rPr>
        <sz val="9"/>
        <rFont val="Noto Sans CJK SC"/>
        <charset val="134"/>
      </rPr>
      <t>含腹膜后</t>
    </r>
    <r>
      <rPr>
        <sz val="9"/>
        <rFont val="Arial"/>
        <charset val="1"/>
      </rPr>
      <t>)</t>
    </r>
    <r>
      <rPr>
        <sz val="9"/>
        <rFont val="Noto Sans CJK SC"/>
        <charset val="134"/>
      </rPr>
      <t>】中上腹部异常光团回声（肠旋转不良可能）。</t>
    </r>
  </si>
  <si>
    <r>
      <rPr>
        <sz val="9"/>
        <rFont val="Noto Sans CJK SC"/>
        <charset val="134"/>
      </rPr>
      <t>夜间急诊超声所见：
中腹部可见一大小约</t>
    </r>
    <r>
      <rPr>
        <sz val="9"/>
        <rFont val="Arial"/>
        <charset val="1"/>
      </rPr>
      <t>2.3cm×2.1cm</t>
    </r>
    <r>
      <rPr>
        <sz val="9"/>
        <rFont val="Noto Sans CJK SC"/>
        <charset val="134"/>
      </rPr>
      <t xml:space="preserve">的光团回声，边界尚清晰，呈漩涡状，内见扩张的血管环绕。余腹膜后未见明显异常。
</t>
    </r>
    <r>
      <rPr>
        <sz val="9"/>
        <rFont val="Arial"/>
        <charset val="1"/>
      </rPr>
      <t>CDFI:</t>
    </r>
    <r>
      <rPr>
        <sz val="9"/>
        <rFont val="Noto Sans CJK SC"/>
        <charset val="134"/>
      </rPr>
      <t>患儿哭闹，上述部位血流信号较杂乱。</t>
    </r>
  </si>
  <si>
    <t>中腹部异常回声（肠旋转不良多考虑）。</t>
  </si>
  <si>
    <r>
      <rPr>
        <sz val="9"/>
        <rFont val="Noto Sans CJK SC"/>
        <charset val="134"/>
      </rPr>
      <t>中上腹部可见一大小约</t>
    </r>
    <r>
      <rPr>
        <sz val="9"/>
        <rFont val="Arial"/>
        <charset val="1"/>
      </rPr>
      <t>1.8cm×1.8cm</t>
    </r>
    <r>
      <rPr>
        <sz val="9"/>
        <rFont val="Noto Sans CJK SC"/>
        <charset val="134"/>
      </rPr>
      <t xml:space="preserve">的光团回声，边界尚清晰，内部回声呈强弱相间的漩涡状回声，内见扩张的血管环绕。余腹未见明显局限性异常回声。
</t>
    </r>
    <r>
      <rPr>
        <sz val="9"/>
        <rFont val="Arial"/>
        <charset val="1"/>
      </rPr>
      <t>CDFI</t>
    </r>
    <r>
      <rPr>
        <sz val="9"/>
        <rFont val="Noto Sans CJK SC"/>
        <charset val="134"/>
      </rPr>
      <t>：上述光团内见漩涡环绕的动静脉血流信号。</t>
    </r>
  </si>
  <si>
    <t>夜间急诊超声所见：
腹部所见：符合肠旋转不良声像图改变。</t>
  </si>
  <si>
    <r>
      <rPr>
        <sz val="9"/>
        <rFont val="Noto Sans CJK SC"/>
        <charset val="134"/>
      </rPr>
      <t xml:space="preserve">夜间急诊超声所见：
腹膜后大血管旁及其间隙内未见明显旋涡状回声，未见明显局限性肿块图像。
</t>
    </r>
    <r>
      <rPr>
        <sz val="9"/>
        <rFont val="Arial"/>
        <charset val="1"/>
      </rPr>
      <t>CDFI:</t>
    </r>
    <r>
      <rPr>
        <sz val="9"/>
        <rFont val="Noto Sans CJK SC"/>
        <charset val="134"/>
      </rPr>
      <t>上述部位未见明显异常血流信号。</t>
    </r>
  </si>
  <si>
    <r>
      <rPr>
        <sz val="9"/>
        <rFont val="Noto Sans CJK SC"/>
        <charset val="134"/>
      </rPr>
      <t>床旁彩色多普勒超声检查</t>
    </r>
    <r>
      <rPr>
        <sz val="9"/>
        <rFont val="Arial"/>
        <charset val="1"/>
      </rPr>
      <t>(</t>
    </r>
    <r>
      <rPr>
        <sz val="9"/>
        <rFont val="Noto Sans CJK SC"/>
        <charset val="134"/>
      </rPr>
      <t>彩超</t>
    </r>
    <r>
      <rPr>
        <sz val="9"/>
        <rFont val="Arial"/>
        <charset val="1"/>
      </rPr>
      <t>),</t>
    </r>
    <r>
      <rPr>
        <sz val="9"/>
        <rFont val="Noto Sans CJK SC"/>
        <charset val="134"/>
      </rPr>
      <t>肝、脾彩超</t>
    </r>
    <r>
      <rPr>
        <sz val="9"/>
        <rFont val="Arial"/>
        <charset val="1"/>
      </rPr>
      <t>,</t>
    </r>
    <r>
      <rPr>
        <sz val="9"/>
        <rFont val="Noto Sans CJK SC"/>
        <charset val="134"/>
      </rPr>
      <t>左肾静脉“胡桃夹”综合征检查</t>
    </r>
    <r>
      <rPr>
        <sz val="9"/>
        <rFont val="Arial"/>
        <charset val="1"/>
      </rPr>
      <t>(</t>
    </r>
    <r>
      <rPr>
        <sz val="9"/>
        <rFont val="Noto Sans CJK SC"/>
        <charset val="134"/>
      </rPr>
      <t>彩超</t>
    </r>
    <r>
      <rPr>
        <sz val="9"/>
        <rFont val="Arial"/>
        <charset val="1"/>
      </rPr>
      <t>),</t>
    </r>
    <r>
      <rPr>
        <sz val="9"/>
        <rFont val="Noto Sans CJK SC"/>
        <charset val="134"/>
      </rPr>
      <t>幽门彩超</t>
    </r>
    <r>
      <rPr>
        <sz val="9"/>
        <rFont val="Arial"/>
        <charset val="1"/>
      </rPr>
      <t>,</t>
    </r>
    <r>
      <rPr>
        <sz val="9"/>
        <rFont val="Noto Sans CJK SC"/>
        <charset val="134"/>
      </rPr>
      <t>颅腔＋颅内段血管检查</t>
    </r>
    <r>
      <rPr>
        <sz val="9"/>
        <rFont val="Arial"/>
        <charset val="1"/>
      </rPr>
      <t>(</t>
    </r>
    <r>
      <rPr>
        <sz val="9"/>
        <rFont val="Noto Sans CJK SC"/>
        <charset val="134"/>
      </rPr>
      <t>彩超</t>
    </r>
    <r>
      <rPr>
        <sz val="9"/>
        <rFont val="Arial"/>
        <charset val="1"/>
      </rPr>
      <t>)</t>
    </r>
  </si>
  <si>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1.2cm</t>
    </r>
    <r>
      <rPr>
        <sz val="9"/>
        <rFont val="Noto Sans CJK SC"/>
        <charset val="134"/>
      </rPr>
      <t xml:space="preserve">。
幽门因上腹部气体干扰未显示。
</t>
    </r>
    <r>
      <rPr>
        <sz val="9"/>
        <rFont val="Arial"/>
        <charset val="1"/>
      </rPr>
      <t>CDFI:</t>
    </r>
    <r>
      <rPr>
        <sz val="9"/>
        <rFont val="Noto Sans CJK SC"/>
        <charset val="134"/>
      </rPr>
      <t>上述部位未见异常血流信号。
左肾静脉走行于腹主动脉与肠系膜上动脉之间，其内径分别为：
卧位：                   
近肾门处：</t>
    </r>
    <r>
      <rPr>
        <sz val="9"/>
        <rFont val="Arial"/>
        <charset val="1"/>
      </rPr>
      <t xml:space="preserve">0.32cm
</t>
    </r>
    <r>
      <rPr>
        <sz val="9"/>
        <rFont val="Noto Sans CJK SC"/>
        <charset val="134"/>
      </rPr>
      <t>夹角处：</t>
    </r>
    <r>
      <rPr>
        <sz val="9"/>
        <rFont val="Arial"/>
        <charset val="1"/>
      </rPr>
      <t xml:space="preserve">0.16cm
</t>
    </r>
    <r>
      <rPr>
        <sz val="9"/>
        <rFont val="Noto Sans CJK SC"/>
        <charset val="134"/>
      </rPr>
      <t>比值小于</t>
    </r>
    <r>
      <rPr>
        <sz val="9"/>
        <rFont val="Arial"/>
        <charset val="1"/>
      </rPr>
      <t>3</t>
    </r>
    <r>
      <rPr>
        <sz val="9"/>
        <rFont val="Noto Sans CJK SC"/>
        <charset val="134"/>
      </rPr>
      <t xml:space="preserve">倍
</t>
    </r>
    <r>
      <rPr>
        <sz val="9"/>
        <rFont val="Arial"/>
        <charset val="1"/>
      </rPr>
      <t>CDFI</t>
    </r>
    <r>
      <rPr>
        <sz val="9"/>
        <rFont val="Noto Sans CJK SC"/>
        <charset val="134"/>
      </rPr>
      <t>：左肾静脉跨越处未见明显加速的血流信号。
左侧室管膜下可见范围约</t>
    </r>
    <r>
      <rPr>
        <sz val="9"/>
        <rFont val="Arial"/>
        <charset val="1"/>
      </rPr>
      <t>1.3cm×0.7cm</t>
    </r>
    <r>
      <rPr>
        <sz val="9"/>
        <rFont val="Noto Sans CJK SC"/>
        <charset val="134"/>
      </rPr>
      <t xml:space="preserve">的串珠样无回声区，边界尚清晰，余脑室未见明显异常回声，脑中线居中，脑实质内未见局限性异常回声。
</t>
    </r>
    <r>
      <rPr>
        <sz val="9"/>
        <rFont val="Arial"/>
        <charset val="1"/>
      </rPr>
      <t>CDFI</t>
    </r>
    <r>
      <rPr>
        <sz val="9"/>
        <rFont val="Noto Sans CJK SC"/>
        <charset val="134"/>
      </rPr>
      <t>：上述无回声区内未见明显血流信号，颅内血流分布及各参数未见明显异常。</t>
    </r>
  </si>
  <si>
    <t>床边彩超：
肝脏、脾脏未见明显异常。
左肾静脉未见明显受压。
幽门未显示。
左侧室管膜下囊肿。</t>
  </si>
  <si>
    <r>
      <rPr>
        <sz val="9"/>
        <rFont val="Noto Sans CJK SC"/>
        <charset val="134"/>
      </rPr>
      <t>中上腹部可见一截面积大小约</t>
    </r>
    <r>
      <rPr>
        <sz val="9"/>
        <rFont val="Arial"/>
        <charset val="1"/>
      </rPr>
      <t>1.7cm×1.4cm</t>
    </r>
    <r>
      <rPr>
        <sz val="9"/>
        <rFont val="Noto Sans CJK SC"/>
        <charset val="134"/>
      </rPr>
      <t xml:space="preserve">的光团回声，边界尚清晰，内部回声呈强弱相间的漩涡状回声，内见扩张的血管环绕，腹腔内可见较多气体强反射回声，以中上腹为甚。
</t>
    </r>
    <r>
      <rPr>
        <sz val="9"/>
        <rFont val="Arial"/>
        <charset val="1"/>
      </rPr>
      <t>CDFI:</t>
    </r>
    <r>
      <rPr>
        <sz val="9"/>
        <rFont val="Noto Sans CJK SC"/>
        <charset val="134"/>
      </rPr>
      <t>上述部位未见异常血流信号。</t>
    </r>
  </si>
  <si>
    <t>中上腹部异常光团回声：考虑肠旋转不良。
肠积气。</t>
  </si>
  <si>
    <r>
      <rPr>
        <sz val="9"/>
        <rFont val="Noto Sans CJK SC"/>
        <charset val="134"/>
      </rPr>
      <t>夜间急诊超声所见：
腹部气体干扰较多，后方结构部分被遮盖，脐上可见一大小约</t>
    </r>
    <r>
      <rPr>
        <sz val="9"/>
        <rFont val="Arial"/>
        <charset val="1"/>
      </rPr>
      <t>2.2cm×2.2cm</t>
    </r>
    <r>
      <rPr>
        <sz val="9"/>
        <rFont val="Noto Sans CJK SC"/>
        <charset val="134"/>
      </rPr>
      <t xml:space="preserve">的类“靶环征”，内部回声呈强弱相间的漩涡状回声，探查时可见旋转感，远端可显示腹腔肠管较萎瘪，腹腔目前未见积液征。
可显示腹膜后大血管旁及其间隙内未见明显局限性肿块图像。
</t>
    </r>
    <r>
      <rPr>
        <sz val="9"/>
        <rFont val="Arial"/>
        <charset val="1"/>
      </rPr>
      <t>CDFI:</t>
    </r>
    <r>
      <rPr>
        <sz val="9"/>
        <rFont val="Noto Sans CJK SC"/>
        <charset val="134"/>
      </rPr>
      <t>患儿哭闹，上述部位短轴可见漩涡状血流信号。</t>
    </r>
  </si>
  <si>
    <t>中上腹部异常光团回声：肠旋转不良伴中肠扭转多考虑，建议进一步检查。
肠积气。
腹膜后目前未见明显异常。</t>
  </si>
  <si>
    <t>胃肠道彩超；胃肠道彩超；胃肠道彩超</t>
  </si>
  <si>
    <r>
      <rPr>
        <sz val="9"/>
        <rFont val="Noto Sans CJK SC"/>
        <charset val="134"/>
      </rPr>
      <t>【胃肠道彩超】夜间急诊超声所见：
胃扩张明显，其内可见大量的滞留物，剑突下横切动态扫查时贲门与幽门呈十字交叉征；下腹肠间可见前后径约</t>
    </r>
    <r>
      <rPr>
        <sz val="9"/>
        <rFont val="Arial"/>
        <charset val="1"/>
      </rPr>
      <t>1.3cm</t>
    </r>
    <r>
      <rPr>
        <sz val="9"/>
        <rFont val="Noto Sans CJK SC"/>
        <charset val="134"/>
      </rPr>
      <t xml:space="preserve">的液性暗区；左上腹未探及明显脾脏组织回声，余腹可见较多的气体强反射回声。
</t>
    </r>
    <r>
      <rPr>
        <sz val="9"/>
        <rFont val="Arial"/>
        <charset val="1"/>
      </rPr>
      <t>CDFI:</t>
    </r>
    <r>
      <rPr>
        <sz val="9"/>
        <rFont val="Noto Sans CJK SC"/>
        <charset val="134"/>
      </rPr>
      <t>患儿不配合，上述部位血流信号较杂乱。
【胃肠道彩超】夜间急诊超声所见：
胃内可见置管回声，其内可见较多的胃内容物，张力较前减低，剑突下横切时贲门与幽门在同一水平面上，动态扫查时贲门与幽门呈十字交叉征；下腹肠间可见前后径约</t>
    </r>
    <r>
      <rPr>
        <sz val="9"/>
        <rFont val="Arial"/>
        <charset val="1"/>
      </rPr>
      <t>1.7cm</t>
    </r>
    <r>
      <rPr>
        <sz val="9"/>
        <rFont val="Noto Sans CJK SC"/>
        <charset val="134"/>
      </rPr>
      <t xml:space="preserve">的液性暗区；左上腹未探及明显脾脏组织回声；余腹可见较多的气体强反射回声。
</t>
    </r>
    <r>
      <rPr>
        <sz val="9"/>
        <rFont val="Arial"/>
        <charset val="1"/>
      </rPr>
      <t>CDFI:</t>
    </r>
    <r>
      <rPr>
        <sz val="9"/>
        <rFont val="Noto Sans CJK SC"/>
        <charset val="134"/>
      </rPr>
      <t>上述部位未见明显异常血流信号。
【胃肠道彩超】夜间急诊超声所见：
胃内可见置管回声，胃腔充盈，其内可见较多的胃内容物，剑突下横切时贲门与幽门在同一水平面上，幽门指向左下背侧；目前肠管未见扩张，下腹肠间可见前后径约</t>
    </r>
    <r>
      <rPr>
        <sz val="9"/>
        <rFont val="Arial"/>
        <charset val="1"/>
      </rPr>
      <t>1.7cm</t>
    </r>
    <r>
      <rPr>
        <sz val="9"/>
        <rFont val="Noto Sans CJK SC"/>
        <charset val="134"/>
      </rPr>
      <t xml:space="preserve">的液性暗区，未见明显局限性异常包块回声。
</t>
    </r>
    <r>
      <rPr>
        <sz val="9"/>
        <rFont val="Arial"/>
        <charset val="1"/>
      </rPr>
      <t>CDFI:</t>
    </r>
    <r>
      <rPr>
        <sz val="9"/>
        <rFont val="Noto Sans CJK SC"/>
        <charset val="134"/>
      </rPr>
      <t>上述部位未见明显异常血流信号。</t>
    </r>
  </si>
  <si>
    <t>【胃肠道彩超】胃潴留，胃扭转多考虑，请结合临床必要时进一步检查。
腹腔少许积液。
左上腹未探及明显脾脏组织回声，建议复查。
【胃肠道彩超】胃内可见置管回声，胃内容物较多。
胃扭转多考虑。
腹腔少许积液。
左上腹未探及明显脾脏组织回声。
建议必要时复查。
【胃肠道彩超】胃内可见置管回声，胃腔充盈，胃内容物较多。
胃扭转多考虑。
腹腔少许积液。</t>
  </si>
  <si>
    <r>
      <rPr>
        <sz val="9"/>
        <rFont val="Noto Sans CJK SC"/>
        <charset val="134"/>
      </rPr>
      <t xml:space="preserve">【胃肠道彩超】腹腔内可见较多气体强反射回声，以中上腹为甚，余腹未见明显局限性肿块图像及积液征。
</t>
    </r>
    <r>
      <rPr>
        <sz val="9"/>
        <rFont val="Arial"/>
        <charset val="1"/>
      </rPr>
      <t>CDFI:</t>
    </r>
    <r>
      <rPr>
        <sz val="9"/>
        <rFont val="Noto Sans CJK SC"/>
        <charset val="134"/>
      </rPr>
      <t>上述部位未见异常血流信号。
【腹部大血管彩超</t>
    </r>
    <r>
      <rPr>
        <sz val="9"/>
        <rFont val="Arial"/>
        <charset val="1"/>
      </rPr>
      <t>(</t>
    </r>
    <r>
      <rPr>
        <sz val="9"/>
        <rFont val="Noto Sans CJK SC"/>
        <charset val="134"/>
      </rPr>
      <t>含腹膜后</t>
    </r>
    <r>
      <rPr>
        <sz val="9"/>
        <rFont val="Arial"/>
        <charset val="1"/>
      </rPr>
      <t>)</t>
    </r>
    <r>
      <rPr>
        <sz val="9"/>
        <rFont val="Noto Sans CJK SC"/>
        <charset val="134"/>
      </rPr>
      <t>】中上腹部可见一大小约</t>
    </r>
    <r>
      <rPr>
        <sz val="9"/>
        <rFont val="Arial"/>
        <charset val="1"/>
      </rPr>
      <t>1.5cm×1.8cm</t>
    </r>
    <r>
      <rPr>
        <sz val="9"/>
        <rFont val="Noto Sans CJK SC"/>
        <charset val="134"/>
      </rPr>
      <t xml:space="preserve">的光团回声，边界尚清晰，内部回声呈强弱相间的漩涡状回声，内见扩张的血管环绕，上端肠管及胃未见明显扩张，余腹膜后大血管旁及其间隙内未见明显局限性肿块图像。
</t>
    </r>
    <r>
      <rPr>
        <sz val="9"/>
        <rFont val="Arial"/>
        <charset val="1"/>
      </rPr>
      <t>CDFI</t>
    </r>
    <r>
      <rPr>
        <sz val="9"/>
        <rFont val="Noto Sans CJK SC"/>
        <charset val="134"/>
      </rPr>
      <t>：上述光团内见漩涡环绕的动静脉血流信号。</t>
    </r>
  </si>
  <si>
    <r>
      <rPr>
        <sz val="9"/>
        <rFont val="Noto Sans CJK SC"/>
        <charset val="134"/>
      </rPr>
      <t>【胃肠道彩超】肠积气。
【腹部大血管彩超</t>
    </r>
    <r>
      <rPr>
        <sz val="9"/>
        <rFont val="Arial"/>
        <charset val="1"/>
      </rPr>
      <t>(</t>
    </r>
    <r>
      <rPr>
        <sz val="9"/>
        <rFont val="Noto Sans CJK SC"/>
        <charset val="134"/>
      </rPr>
      <t>含腹膜后</t>
    </r>
    <r>
      <rPr>
        <sz val="9"/>
        <rFont val="Arial"/>
        <charset val="1"/>
      </rPr>
      <t>)</t>
    </r>
    <r>
      <rPr>
        <sz val="9"/>
        <rFont val="Noto Sans CJK SC"/>
        <charset val="134"/>
      </rPr>
      <t>】中上腹部异常光团回声（肠旋转不良多考虑）。</t>
    </r>
  </si>
  <si>
    <r>
      <rPr>
        <sz val="9"/>
        <rFont val="Noto Sans CJK SC"/>
        <charset val="134"/>
      </rPr>
      <t xml:space="preserve">【胃肠道彩超】腹腔内可见较多肠气强反射回声，未见明显局限性肿块图像及积液征。
</t>
    </r>
    <r>
      <rPr>
        <sz val="9"/>
        <rFont val="Arial"/>
        <charset val="1"/>
      </rPr>
      <t>CDFI</t>
    </r>
    <r>
      <rPr>
        <sz val="9"/>
        <rFont val="Noto Sans CJK SC"/>
        <charset val="134"/>
      </rPr>
      <t>：上述部位未见异常血流信号。
【腹部大血管彩超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上述部位未见明显异常血流信号。</t>
    </r>
  </si>
  <si>
    <r>
      <rPr>
        <sz val="9"/>
        <rFont val="Noto Sans CJK SC"/>
        <charset val="134"/>
      </rPr>
      <t>【胃肠道彩超】目前腹腔内未见明显异常。
【腹部大血管彩超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】腹膜后未见明显异常。</t>
    </r>
  </si>
  <si>
    <r>
      <rPr>
        <sz val="9"/>
        <rFont val="Noto Sans CJK SC"/>
        <charset val="134"/>
      </rPr>
      <t>幽门彩超</t>
    </r>
    <r>
      <rPr>
        <sz val="9"/>
        <rFont val="Arial"/>
        <charset val="1"/>
      </rPr>
      <t>,</t>
    </r>
    <r>
      <rPr>
        <sz val="9"/>
        <rFont val="Noto Sans CJK SC"/>
        <charset val="134"/>
      </rPr>
      <t>胃肠道彩超</t>
    </r>
  </si>
  <si>
    <r>
      <rPr>
        <sz val="9"/>
        <rFont val="Noto Sans CJK SC"/>
        <charset val="134"/>
      </rPr>
      <t>中上腹部可见一大小约</t>
    </r>
    <r>
      <rPr>
        <sz val="9"/>
        <rFont val="Arial"/>
        <charset val="1"/>
      </rPr>
      <t>2.6cm×2.6cm</t>
    </r>
    <r>
      <rPr>
        <sz val="9"/>
        <rFont val="Noto Sans CJK SC"/>
        <charset val="134"/>
      </rPr>
      <t xml:space="preserve">的光团回声，边界尚清晰，内部回声呈强弱相间的漩涡状回声，内见扩张的血管环绕，余腹未见明显局限性异常回声。
</t>
    </r>
    <r>
      <rPr>
        <sz val="9"/>
        <rFont val="Arial"/>
        <charset val="1"/>
      </rPr>
      <t>CDFI</t>
    </r>
    <r>
      <rPr>
        <sz val="9"/>
        <rFont val="Noto Sans CJK SC"/>
        <charset val="134"/>
      </rPr>
      <t xml:space="preserve">：上述光团内见漩涡环绕的动静脉血流信号。
幽门区未见明显局限性肿块图像。
</t>
    </r>
    <r>
      <rPr>
        <sz val="9"/>
        <rFont val="Arial"/>
        <charset val="1"/>
      </rPr>
      <t>CDFI:</t>
    </r>
    <r>
      <rPr>
        <sz val="9"/>
        <rFont val="Noto Sans CJK SC"/>
        <charset val="134"/>
      </rPr>
      <t>上述部位未见明显异常血流信号。</t>
    </r>
  </si>
  <si>
    <t>中上腹部异常光团回声（肠旋转不良多考虑）
幽门未见明显异常。</t>
  </si>
  <si>
    <r>
      <rPr>
        <sz val="9"/>
        <rFont val="Noto Sans CJK SC"/>
        <charset val="134"/>
      </rPr>
      <t>胃肠道彩超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</si>
  <si>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夜间急诊超声所见：
中上腹部可见一大小约</t>
    </r>
    <r>
      <rPr>
        <sz val="9"/>
        <rFont val="Arial"/>
        <charset val="1"/>
      </rPr>
      <t>1.4cm×1.1cm</t>
    </r>
    <r>
      <rPr>
        <sz val="9"/>
        <rFont val="Noto Sans CJK SC"/>
        <charset val="134"/>
      </rPr>
      <t>的光团回声，边界尚清晰，内部回声呈强弱相间的漩涡状回声，内见扩张的血管环绕，腹腔内肠管萎瘪，未见明显</t>
    </r>
    <r>
      <rPr>
        <sz val="9"/>
        <rFont val="Arial"/>
        <charset val="1"/>
      </rPr>
      <t>"</t>
    </r>
    <r>
      <rPr>
        <sz val="9"/>
        <rFont val="Noto Sans CJK SC"/>
        <charset val="134"/>
      </rPr>
      <t>同心圆</t>
    </r>
    <r>
      <rPr>
        <sz val="9"/>
        <rFont val="Arial"/>
        <charset val="1"/>
      </rPr>
      <t>"</t>
    </r>
    <r>
      <rPr>
        <sz val="9"/>
        <rFont val="Noto Sans CJK SC"/>
        <charset val="134"/>
      </rPr>
      <t xml:space="preserve">征象，未见明显积液扩张的肠襻，未见脓肿，腹腔内未见游离液性暗区。
</t>
    </r>
    <r>
      <rPr>
        <sz val="9"/>
        <rFont val="Arial"/>
        <charset val="1"/>
      </rPr>
      <t>CDFI:</t>
    </r>
    <r>
      <rPr>
        <sz val="9"/>
        <rFont val="Noto Sans CJK SC"/>
        <charset val="134"/>
      </rPr>
      <t>上述部位未见明显异常血流信号。</t>
    </r>
  </si>
  <si>
    <r>
      <rPr>
        <sz val="9"/>
        <rFont val="Noto Sans CJK SC"/>
        <charset val="134"/>
      </rPr>
      <t>胃肠道彩超</t>
    </r>
    <r>
      <rPr>
        <sz val="9"/>
        <rFont val="Arial"/>
        <charset val="1"/>
      </rPr>
      <t>,</t>
    </r>
    <r>
      <rPr>
        <sz val="9"/>
        <rFont val="Noto Sans CJK SC"/>
        <charset val="134"/>
      </rPr>
      <t>肝、脾彩超</t>
    </r>
    <r>
      <rPr>
        <sz val="9"/>
        <rFont val="Arial"/>
        <charset val="1"/>
      </rPr>
      <t>,</t>
    </r>
    <r>
      <rPr>
        <sz val="9"/>
        <rFont val="Noto Sans CJK SC"/>
        <charset val="134"/>
      </rPr>
      <t>双肾及肾血管彩超</t>
    </r>
  </si>
  <si>
    <r>
      <rPr>
        <sz val="9"/>
        <rFont val="Noto Sans CJK SC"/>
        <charset val="134"/>
      </rPr>
      <t>肝脏切面形态正常，肝内光点分布均匀，血管走向清晰，肝右肋下</t>
    </r>
    <r>
      <rPr>
        <sz val="9"/>
        <rFont val="Arial"/>
        <charset val="1"/>
      </rPr>
      <t>0cm</t>
    </r>
    <r>
      <rPr>
        <sz val="9"/>
        <rFont val="Noto Sans CJK SC"/>
        <charset val="134"/>
      </rPr>
      <t>。
脾脏切面形态正常，左肋下</t>
    </r>
    <r>
      <rPr>
        <sz val="9"/>
        <rFont val="Arial"/>
        <charset val="1"/>
      </rPr>
      <t>0cm</t>
    </r>
    <r>
      <rPr>
        <sz val="9"/>
        <rFont val="Noto Sans CJK SC"/>
        <charset val="134"/>
      </rPr>
      <t>，厚</t>
    </r>
    <r>
      <rPr>
        <sz val="9"/>
        <rFont val="Arial"/>
        <charset val="1"/>
      </rPr>
      <t>2.5cm</t>
    </r>
    <r>
      <rPr>
        <sz val="9"/>
        <rFont val="Noto Sans CJK SC"/>
        <charset val="134"/>
      </rPr>
      <t xml:space="preserve">。
腹腔内可见较多气体强反射回声，未见明显局限性肿块图像及积液征。
</t>
    </r>
    <r>
      <rPr>
        <sz val="9"/>
        <rFont val="Arial"/>
        <charset val="1"/>
      </rPr>
      <t>CDFI:</t>
    </r>
    <r>
      <rPr>
        <sz val="9"/>
        <rFont val="Noto Sans CJK SC"/>
        <charset val="134"/>
      </rPr>
      <t>上述部位未见异常血流信号。
左肾：</t>
    </r>
    <r>
      <rPr>
        <sz val="9"/>
        <rFont val="Arial"/>
        <charset val="1"/>
      </rPr>
      <t>7.7cm×3.1cm</t>
    </r>
    <r>
      <rPr>
        <sz val="9"/>
        <rFont val="Noto Sans CJK SC"/>
        <charset val="134"/>
      </rPr>
      <t>（前后径）</t>
    </r>
    <r>
      <rPr>
        <sz val="9"/>
        <rFont val="Arial"/>
        <charset val="1"/>
      </rPr>
      <t xml:space="preserve">×3.8cm
</t>
    </r>
    <r>
      <rPr>
        <sz val="9"/>
        <rFont val="Noto Sans CJK SC"/>
        <charset val="134"/>
      </rPr>
      <t>右肾：</t>
    </r>
    <r>
      <rPr>
        <sz val="9"/>
        <rFont val="Arial"/>
        <charset val="1"/>
      </rPr>
      <t>7.9cm×3.4cm</t>
    </r>
    <r>
      <rPr>
        <sz val="9"/>
        <rFont val="Noto Sans CJK SC"/>
        <charset val="134"/>
      </rPr>
      <t>（前后径）</t>
    </r>
    <r>
      <rPr>
        <sz val="9"/>
        <rFont val="Arial"/>
        <charset val="1"/>
      </rPr>
      <t xml:space="preserve">×3.7cm
</t>
    </r>
    <r>
      <rPr>
        <sz val="9"/>
        <rFont val="Noto Sans CJK SC"/>
        <charset val="134"/>
      </rPr>
      <t xml:space="preserve">双肾切面形态正常，左肾位置偏高，双肾集合系统光点群未见明显分离，肾实质内未见明显异常回声。
</t>
    </r>
    <r>
      <rPr>
        <sz val="9"/>
        <rFont val="Arial"/>
        <charset val="1"/>
      </rPr>
      <t>CDFI</t>
    </r>
    <r>
      <rPr>
        <sz val="9"/>
        <rFont val="Noto Sans CJK SC"/>
        <charset val="134"/>
      </rPr>
      <t>：双肾内未见明显异常血流信号。</t>
    </r>
  </si>
  <si>
    <t>肝脏未见明显异常。
脾脏未见明显异常。
肠积气。
左肾位置偏高，右肾未见明显异常。</t>
  </si>
  <si>
    <r>
      <rPr>
        <sz val="9"/>
        <rFont val="Noto Sans CJK SC"/>
        <charset val="134"/>
      </rPr>
      <t>腹股沟彩超检查</t>
    </r>
    <r>
      <rPr>
        <sz val="9"/>
        <rFont val="Arial"/>
        <charset val="1"/>
      </rPr>
      <t>(</t>
    </r>
    <r>
      <rPr>
        <sz val="9"/>
        <rFont val="Noto Sans CJK SC"/>
        <charset val="134"/>
      </rPr>
      <t>双侧</t>
    </r>
    <r>
      <rPr>
        <sz val="9"/>
        <rFont val="Arial"/>
        <charset val="1"/>
      </rPr>
      <t>),</t>
    </r>
    <r>
      <rPr>
        <sz val="9"/>
        <rFont val="Noto Sans CJK SC"/>
        <charset val="134"/>
      </rPr>
      <t>阴囊、睾丸、附件及精索彩超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</si>
  <si>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夜间急诊检查：
双侧睾丸切面形态大小正常，内部光点分布均匀，未见明显局限性异常回声。
双侧睾丸位于各自阴囊内。
双侧阴囊内可见少量液性暗区，范围分别为：</t>
    </r>
    <r>
      <rPr>
        <sz val="9"/>
        <rFont val="Arial"/>
        <charset val="1"/>
      </rPr>
      <t>2.8cmx1.3cm</t>
    </r>
    <r>
      <rPr>
        <sz val="9"/>
        <rFont val="Noto Sans CJK SC"/>
        <charset val="134"/>
      </rPr>
      <t>（</t>
    </r>
    <r>
      <rPr>
        <sz val="9"/>
        <rFont val="Arial"/>
        <charset val="1"/>
      </rPr>
      <t>L</t>
    </r>
    <r>
      <rPr>
        <sz val="9"/>
        <rFont val="Noto Sans CJK SC"/>
        <charset val="134"/>
      </rPr>
      <t>）、</t>
    </r>
    <r>
      <rPr>
        <sz val="9"/>
        <rFont val="Arial"/>
        <charset val="1"/>
      </rPr>
      <t>2.1cmx0.9cm</t>
    </r>
    <r>
      <rPr>
        <sz val="9"/>
        <rFont val="Noto Sans CJK SC"/>
        <charset val="134"/>
      </rPr>
      <t>（</t>
    </r>
    <r>
      <rPr>
        <sz val="9"/>
        <rFont val="Arial"/>
        <charset val="1"/>
      </rPr>
      <t>R</t>
    </r>
    <r>
      <rPr>
        <sz val="9"/>
        <rFont val="Noto Sans CJK SC"/>
        <charset val="134"/>
      </rPr>
      <t>）。
双侧腹股沟区未见局限性包块回声及液性暗区。
中腹部可见一大小约</t>
    </r>
    <r>
      <rPr>
        <sz val="9"/>
        <rFont val="Arial"/>
        <charset val="1"/>
      </rPr>
      <t>1.4cm×1.1cm</t>
    </r>
    <r>
      <rPr>
        <sz val="9"/>
        <rFont val="Noto Sans CJK SC"/>
        <charset val="134"/>
      </rPr>
      <t xml:space="preserve">的光团回声，边界尚清晰，内部回声呈强弱相间的漩涡状回声，内见扩张的血管环绕。余腹膜后所示切面未见明显包块声像。
</t>
    </r>
    <r>
      <rPr>
        <sz val="9"/>
        <rFont val="Arial"/>
        <charset val="1"/>
      </rPr>
      <t>CDFI</t>
    </r>
    <r>
      <rPr>
        <sz val="9"/>
        <rFont val="Noto Sans CJK SC"/>
        <charset val="134"/>
      </rPr>
      <t>：上述光团内见漩涡环绕的动静脉血流信号。</t>
    </r>
  </si>
  <si>
    <t>中腹部异常光团回声（肠旋转不良可能）。
双侧睾丸鞘膜腔积液。</t>
  </si>
  <si>
    <r>
      <rPr>
        <sz val="9"/>
        <rFont val="Noto Sans CJK SC"/>
        <charset val="134"/>
      </rPr>
      <t>胃体、幽门及十二指肠球部、降部均可见液体充盈，本次探查过程中，水平部未见明显充盈。
肠系膜上动静脉位置关系未见明显异常，原腹腔干起始处未见典型腹腔干结构，可见一较细动脉，管径</t>
    </r>
    <r>
      <rPr>
        <sz val="9"/>
        <rFont val="Arial"/>
        <charset val="1"/>
      </rPr>
      <t>0.17cm</t>
    </r>
    <r>
      <rPr>
        <sz val="9"/>
        <rFont val="Noto Sans CJK SC"/>
        <charset val="134"/>
      </rPr>
      <t>。
中下腹因气体遮挡显示不清。</t>
    </r>
  </si>
  <si>
    <t>十二指肠球部、降部均可见液体充盈。
本次探查过程中，十二指肠水平部充盈不佳，请结合其他检查。
腹腔干起始处所见（腹腔干变异？）。</t>
  </si>
  <si>
    <r>
      <rPr>
        <sz val="9"/>
        <rFont val="Noto Sans CJK SC"/>
        <charset val="134"/>
      </rPr>
      <t>床旁彩超</t>
    </r>
    <r>
      <rPr>
        <sz val="9"/>
        <rFont val="Arial"/>
        <charset val="1"/>
      </rPr>
      <t>(</t>
    </r>
    <r>
      <rPr>
        <sz val="9"/>
        <rFont val="Noto Sans CJK SC"/>
        <charset val="134"/>
      </rPr>
      <t>免费</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幽门彩超</t>
    </r>
  </si>
  <si>
    <r>
      <rPr>
        <sz val="9"/>
        <rFont val="Noto Sans CJK SC"/>
        <charset val="134"/>
      </rPr>
      <t>床边彩超：
幽门肌层厚约</t>
    </r>
    <r>
      <rPr>
        <sz val="9"/>
        <rFont val="Arial"/>
        <charset val="1"/>
      </rPr>
      <t>0.24cm</t>
    </r>
    <r>
      <rPr>
        <sz val="9"/>
        <rFont val="Noto Sans CJK SC"/>
        <charset val="134"/>
      </rPr>
      <t xml:space="preserve">，幽门区未见明显局限性肿块图像。
</t>
    </r>
    <r>
      <rPr>
        <sz val="9"/>
        <rFont val="Arial"/>
        <charset val="1"/>
      </rPr>
      <t>CDFI:</t>
    </r>
    <r>
      <rPr>
        <sz val="9"/>
        <rFont val="Noto Sans CJK SC"/>
        <charset val="134"/>
      </rPr>
      <t>上述部位未见异常血流信号。
胃腔内可见少量气体强反射回声，腹腔内肠管萎瘪，脐周腹可见一范围约</t>
    </r>
    <r>
      <rPr>
        <sz val="9"/>
        <rFont val="Arial"/>
        <charset val="1"/>
      </rPr>
      <t>1.7cm×1.4cm</t>
    </r>
    <r>
      <rPr>
        <sz val="9"/>
        <rFont val="Noto Sans CJK SC"/>
        <charset val="134"/>
      </rPr>
      <t>的类</t>
    </r>
    <r>
      <rPr>
        <sz val="9"/>
        <rFont val="Arial"/>
        <charset val="1"/>
      </rPr>
      <t>"</t>
    </r>
    <r>
      <rPr>
        <sz val="9"/>
        <rFont val="Noto Sans CJK SC"/>
        <charset val="134"/>
      </rPr>
      <t>靶环征</t>
    </r>
    <r>
      <rPr>
        <sz val="9"/>
        <rFont val="Arial"/>
        <charset val="1"/>
      </rPr>
      <t>"</t>
    </r>
    <r>
      <rPr>
        <sz val="9"/>
        <rFont val="Noto Sans CJK SC"/>
        <charset val="134"/>
      </rPr>
      <t xml:space="preserve">，周围部分系膜增厚；余腹膜后大血管旁及其间隙内未见明显局限性肿块图像。
</t>
    </r>
    <r>
      <rPr>
        <sz val="9"/>
        <rFont val="Arial"/>
        <charset val="1"/>
      </rPr>
      <t>CDFI</t>
    </r>
    <r>
      <rPr>
        <sz val="9"/>
        <rFont val="Noto Sans CJK SC"/>
        <charset val="134"/>
      </rPr>
      <t>：上述类</t>
    </r>
    <r>
      <rPr>
        <sz val="9"/>
        <rFont val="Arial"/>
        <charset val="1"/>
      </rPr>
      <t>"</t>
    </r>
    <r>
      <rPr>
        <sz val="9"/>
        <rFont val="Noto Sans CJK SC"/>
        <charset val="134"/>
      </rPr>
      <t>靶环征</t>
    </r>
    <r>
      <rPr>
        <sz val="9"/>
        <rFont val="Arial"/>
        <charset val="1"/>
      </rPr>
      <t>"</t>
    </r>
    <r>
      <rPr>
        <sz val="9"/>
        <rFont val="Noto Sans CJK SC"/>
        <charset val="134"/>
      </rPr>
      <t>上似可见漩涡状血流信号。</t>
    </r>
  </si>
  <si>
    <t>幽门未见明显异常。
脐周腹异常回声：肠旋转不良待排，建议进一步检查。</t>
  </si>
  <si>
    <r>
      <rPr>
        <sz val="9"/>
        <rFont val="Noto Sans CJK SC"/>
        <charset val="134"/>
      </rPr>
      <t>肝、脾彩超</t>
    </r>
    <r>
      <rPr>
        <sz val="9"/>
        <rFont val="Arial"/>
        <charset val="1"/>
      </rPr>
      <t>,</t>
    </r>
    <r>
      <rPr>
        <sz val="9"/>
        <rFont val="Noto Sans CJK SC"/>
        <charset val="134"/>
      </rPr>
      <t>颅腔＋颅内段血管检查</t>
    </r>
    <r>
      <rPr>
        <sz val="9"/>
        <rFont val="Arial"/>
        <charset val="1"/>
      </rPr>
      <t>(</t>
    </r>
    <r>
      <rPr>
        <sz val="9"/>
        <rFont val="Noto Sans CJK SC"/>
        <charset val="134"/>
      </rPr>
      <t>彩超</t>
    </r>
    <r>
      <rPr>
        <sz val="9"/>
        <rFont val="Arial"/>
        <charset val="1"/>
      </rPr>
      <t>),</t>
    </r>
    <r>
      <rPr>
        <sz val="9"/>
        <rFont val="Noto Sans CJK SC"/>
        <charset val="134"/>
      </rPr>
      <t>幽门彩超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</si>
  <si>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患儿哭闹不安静：
左侧室管膜下可见范围约</t>
    </r>
    <r>
      <rPr>
        <sz val="9"/>
        <rFont val="Arial"/>
        <charset val="1"/>
      </rPr>
      <t>0.26cm×0.21cm</t>
    </r>
    <r>
      <rPr>
        <sz val="9"/>
        <rFont val="Noto Sans CJK SC"/>
        <charset val="134"/>
      </rPr>
      <t>的无回声区，边界尚清晰，其内透声稍欠佳，颅后窝内可见前后径约为</t>
    </r>
    <r>
      <rPr>
        <sz val="9"/>
        <rFont val="Arial"/>
        <charset val="1"/>
      </rPr>
      <t>0.42cm</t>
    </r>
    <r>
      <rPr>
        <sz val="9"/>
        <rFont val="Noto Sans CJK SC"/>
        <charset val="134"/>
      </rPr>
      <t xml:space="preserve">的无回声区，余脑室未见明显异常回声，脑中线居中，脑实质内未见局限性异常回声。
</t>
    </r>
    <r>
      <rPr>
        <sz val="9"/>
        <rFont val="Arial"/>
        <charset val="1"/>
      </rPr>
      <t>CDFI</t>
    </r>
    <r>
      <rPr>
        <sz val="9"/>
        <rFont val="Noto Sans CJK SC"/>
        <charset val="134"/>
      </rPr>
      <t>：颅内血流分布未见明显异常，大脑前、中动脉血流参数未见明显异常。
肝脏切面形态正常，肝内光点分布均匀，血管走向清晰，肝右肋下</t>
    </r>
    <r>
      <rPr>
        <sz val="9"/>
        <rFont val="Arial"/>
        <charset val="1"/>
      </rPr>
      <t>1.5cm</t>
    </r>
    <r>
      <rPr>
        <sz val="9"/>
        <rFont val="Noto Sans CJK SC"/>
        <charset val="134"/>
      </rPr>
      <t>，肝内胆管未见明显扩张。
脾脏切面形态正常，左肋下</t>
    </r>
    <r>
      <rPr>
        <sz val="9"/>
        <rFont val="Arial"/>
        <charset val="1"/>
      </rPr>
      <t>0cm</t>
    </r>
    <r>
      <rPr>
        <sz val="9"/>
        <rFont val="Noto Sans CJK SC"/>
        <charset val="134"/>
      </rPr>
      <t>，厚</t>
    </r>
    <r>
      <rPr>
        <sz val="9"/>
        <rFont val="Arial"/>
        <charset val="1"/>
      </rPr>
      <t>1.3cm</t>
    </r>
    <r>
      <rPr>
        <sz val="9"/>
        <rFont val="Noto Sans CJK SC"/>
        <charset val="134"/>
      </rPr>
      <t>。
上腹部可见一大小约</t>
    </r>
    <r>
      <rPr>
        <sz val="9"/>
        <rFont val="Arial"/>
        <charset val="1"/>
      </rPr>
      <t>1.4cm×1.3cm</t>
    </r>
    <r>
      <rPr>
        <sz val="9"/>
        <rFont val="Noto Sans CJK SC"/>
        <charset val="134"/>
      </rPr>
      <t xml:space="preserve">的光团回声，边界尚清晰，内部回声似呈强弱相间的漩涡状回声，内见稍扩张的血管环绕。余腹膜后大血管旁及其间隙内未见明显局限性肿块图像。
幽门区未见明显局限性肿块图像。
</t>
    </r>
    <r>
      <rPr>
        <sz val="9"/>
        <rFont val="Arial"/>
        <charset val="1"/>
      </rPr>
      <t>CDFI</t>
    </r>
    <r>
      <rPr>
        <sz val="9"/>
        <rFont val="Noto Sans CJK SC"/>
        <charset val="134"/>
      </rPr>
      <t>：患儿哭闹，上述上腹部光团内似见漩涡环绕的血流信号。</t>
    </r>
  </si>
  <si>
    <r>
      <rPr>
        <sz val="9"/>
        <rFont val="Noto Sans CJK SC"/>
        <charset val="134"/>
      </rPr>
      <t>左侧室管膜下囊肿。
颅后窝少量积液。
肝脏右肋下</t>
    </r>
    <r>
      <rPr>
        <sz val="9"/>
        <rFont val="Arial"/>
        <charset val="1"/>
      </rPr>
      <t>1.5cm</t>
    </r>
    <r>
      <rPr>
        <sz val="9"/>
        <rFont val="Noto Sans CJK SC"/>
        <charset val="134"/>
      </rPr>
      <t>。
脾脏未见明显异常。
上腹部异常光团回声：肠旋转不良可能大，建议进一步检查。
幽门未见明显异常。</t>
    </r>
  </si>
  <si>
    <r>
      <rPr>
        <sz val="9"/>
        <rFont val="Noto Sans CJK SC"/>
        <charset val="134"/>
      </rPr>
      <t xml:space="preserve">腹腔内可见较多气体强反射回声，以中上腹及右侧腹为甚，后方结构大部分被遮挡，余腹未见明显局限性异常回声。
</t>
    </r>
    <r>
      <rPr>
        <sz val="9"/>
        <rFont val="Arial"/>
        <charset val="1"/>
      </rPr>
      <t>CDFI:</t>
    </r>
    <r>
      <rPr>
        <sz val="9"/>
        <rFont val="Noto Sans CJK SC"/>
        <charset val="134"/>
      </rPr>
      <t>上述部位未见异常血流信号。</t>
    </r>
  </si>
  <si>
    <t>肠积气较显著。</t>
  </si>
  <si>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；胃肠道彩超</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</si>
  <si>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 xml:space="preserve">上述部位未见明显异常血流信号。
【胃肠道彩超】腹腔内可见较多气体强反射回声，以中上腹及右侧腹为甚，余腹未见明显局限性肿块图像及积液征。
</t>
    </r>
    <r>
      <rPr>
        <sz val="9"/>
        <rFont val="Arial"/>
        <charset val="1"/>
      </rPr>
      <t>CDFI:</t>
    </r>
    <r>
      <rPr>
        <sz val="9"/>
        <rFont val="Noto Sans CJK SC"/>
        <charset val="134"/>
      </rPr>
      <t>上述部位未见异常血流信号。</t>
    </r>
  </si>
  <si>
    <r>
      <rPr>
        <sz val="9"/>
        <rFont val="Noto Sans CJK SC"/>
        <charset val="134"/>
      </rPr>
      <t>【腹部大血管彩超</t>
    </r>
    <r>
      <rPr>
        <sz val="9"/>
        <rFont val="Arial"/>
        <charset val="1"/>
      </rPr>
      <t>(</t>
    </r>
    <r>
      <rPr>
        <sz val="9"/>
        <rFont val="Noto Sans CJK SC"/>
        <charset val="134"/>
      </rPr>
      <t>含腹膜后</t>
    </r>
    <r>
      <rPr>
        <sz val="9"/>
        <rFont val="Arial"/>
        <charset val="1"/>
      </rPr>
      <t>)</t>
    </r>
    <r>
      <rPr>
        <sz val="9"/>
        <rFont val="Noto Sans CJK SC"/>
        <charset val="134"/>
      </rPr>
      <t>】腹膜后未见明显异常。
【胃肠道彩超】肠积气较显著。</t>
    </r>
  </si>
  <si>
    <r>
      <rPr>
        <sz val="9"/>
        <rFont val="Noto Sans CJK SC"/>
        <charset val="134"/>
      </rPr>
      <t>肝、脾彩超</t>
    </r>
    <r>
      <rPr>
        <sz val="9"/>
        <rFont val="Arial"/>
        <charset val="1"/>
      </rPr>
      <t>;</t>
    </r>
    <r>
      <rPr>
        <sz val="9"/>
        <rFont val="Noto Sans CJK SC"/>
        <charset val="134"/>
      </rPr>
      <t>胃肠道彩超</t>
    </r>
    <r>
      <rPr>
        <sz val="9"/>
        <rFont val="Arial"/>
        <charset val="1"/>
      </rPr>
      <t>;</t>
    </r>
    <r>
      <rPr>
        <sz val="9"/>
        <rFont val="Noto Sans CJK SC"/>
        <charset val="134"/>
      </rPr>
      <t>颅腔＋颅内段血管检查</t>
    </r>
    <r>
      <rPr>
        <sz val="9"/>
        <rFont val="Arial"/>
        <charset val="1"/>
      </rPr>
      <t>(</t>
    </r>
    <r>
      <rPr>
        <sz val="9"/>
        <rFont val="Noto Sans CJK SC"/>
        <charset val="134"/>
      </rPr>
      <t>彩超</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</si>
  <si>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腹部气体干扰较多，脐上可见一大小约</t>
    </r>
    <r>
      <rPr>
        <sz val="9"/>
        <rFont val="Arial"/>
        <charset val="1"/>
      </rPr>
      <t>1.4cm×1.3cm</t>
    </r>
    <r>
      <rPr>
        <sz val="9"/>
        <rFont val="Noto Sans CJK SC"/>
        <charset val="134"/>
      </rPr>
      <t>的类</t>
    </r>
    <r>
      <rPr>
        <sz val="9"/>
        <rFont val="Arial"/>
        <charset val="1"/>
      </rPr>
      <t>"</t>
    </r>
    <r>
      <rPr>
        <sz val="9"/>
        <rFont val="Noto Sans CJK SC"/>
        <charset val="134"/>
      </rPr>
      <t>靶环征</t>
    </r>
    <r>
      <rPr>
        <sz val="9"/>
        <rFont val="Arial"/>
        <charset val="1"/>
      </rPr>
      <t>"</t>
    </r>
    <r>
      <rPr>
        <sz val="9"/>
        <rFont val="Noto Sans CJK SC"/>
        <charset val="134"/>
      </rPr>
      <t xml:space="preserve">，腹膜后大血管旁及其间隙内未见明显局限性肿块图像。
</t>
    </r>
    <r>
      <rPr>
        <sz val="9"/>
        <rFont val="Arial"/>
        <charset val="1"/>
      </rPr>
      <t>CDFI</t>
    </r>
    <r>
      <rPr>
        <sz val="9"/>
        <rFont val="Noto Sans CJK SC"/>
        <charset val="134"/>
      </rPr>
      <t>：上述类</t>
    </r>
    <r>
      <rPr>
        <sz val="9"/>
        <rFont val="Arial"/>
        <charset val="1"/>
      </rPr>
      <t>"</t>
    </r>
    <r>
      <rPr>
        <sz val="9"/>
        <rFont val="Noto Sans CJK SC"/>
        <charset val="134"/>
      </rPr>
      <t>靶环征</t>
    </r>
    <r>
      <rPr>
        <sz val="9"/>
        <rFont val="Arial"/>
        <charset val="1"/>
      </rPr>
      <t>"</t>
    </r>
    <r>
      <rPr>
        <sz val="9"/>
        <rFont val="Noto Sans CJK SC"/>
        <charset val="134"/>
      </rPr>
      <t>上似可见漩涡状血流信号。
腹腔内可见较多气体强反射回声，以中上腹为甚，后方大片结构被遮挡，余腹未见明显局限性肿块图像及积液征。
肝脏切面形态正常，肝内光点分布均匀，血管走向清晰，肝右肋下</t>
    </r>
    <r>
      <rPr>
        <sz val="9"/>
        <rFont val="Arial"/>
        <charset val="1"/>
      </rPr>
      <t>2.1cm</t>
    </r>
    <r>
      <rPr>
        <sz val="9"/>
        <rFont val="Noto Sans CJK SC"/>
        <charset val="134"/>
      </rPr>
      <t>，肝内胆管未见明显扩张。
脾脏切面形态正常，左肋下</t>
    </r>
    <r>
      <rPr>
        <sz val="9"/>
        <rFont val="Arial"/>
        <charset val="1"/>
      </rPr>
      <t>0cm</t>
    </r>
    <r>
      <rPr>
        <sz val="9"/>
        <rFont val="Noto Sans CJK SC"/>
        <charset val="134"/>
      </rPr>
      <t>，厚</t>
    </r>
    <r>
      <rPr>
        <sz val="9"/>
        <rFont val="Arial"/>
        <charset val="1"/>
      </rPr>
      <t>1.3cm</t>
    </r>
    <r>
      <rPr>
        <sz val="9"/>
        <rFont val="Noto Sans CJK SC"/>
        <charset val="134"/>
      </rPr>
      <t xml:space="preserve">。
</t>
    </r>
    <r>
      <rPr>
        <sz val="9"/>
        <rFont val="Arial"/>
        <charset val="1"/>
      </rPr>
      <t>CDFI:</t>
    </r>
    <r>
      <rPr>
        <sz val="9"/>
        <rFont val="Noto Sans CJK SC"/>
        <charset val="134"/>
      </rPr>
      <t>上述部位未见异常血流信号。
脑中线居中，透明隔腔增宽，内径约</t>
    </r>
    <r>
      <rPr>
        <sz val="9"/>
        <rFont val="Arial"/>
        <charset val="1"/>
      </rPr>
      <t>0.8cm</t>
    </r>
    <r>
      <rPr>
        <sz val="9"/>
        <rFont val="Noto Sans CJK SC"/>
        <charset val="134"/>
      </rPr>
      <t xml:space="preserve">，余各脑室未见明显增宽，脑实质内未见明显异常回声。
</t>
    </r>
    <r>
      <rPr>
        <sz val="9"/>
        <rFont val="Arial"/>
        <charset val="1"/>
      </rPr>
      <t>CDFI</t>
    </r>
    <r>
      <rPr>
        <sz val="9"/>
        <rFont val="Noto Sans CJK SC"/>
        <charset val="134"/>
      </rPr>
      <t>：颅内血流分布及各参数未见明显异常。</t>
    </r>
  </si>
  <si>
    <r>
      <rPr>
        <sz val="9"/>
        <rFont val="Noto Sans CJK SC"/>
        <charset val="134"/>
      </rPr>
      <t>中上腹部异常光团回声（肠旋转不良多考虑）。
肠积气。
肝脏右肋下</t>
    </r>
    <r>
      <rPr>
        <sz val="9"/>
        <rFont val="Arial"/>
        <charset val="1"/>
      </rPr>
      <t>2.1cm</t>
    </r>
    <r>
      <rPr>
        <sz val="9"/>
        <rFont val="Noto Sans CJK SC"/>
        <charset val="134"/>
      </rPr>
      <t>。
脾脏未见明显异常。
透明隔腔稍增宽。</t>
    </r>
  </si>
  <si>
    <r>
      <rPr>
        <sz val="9"/>
        <rFont val="Noto Sans CJK SC"/>
        <charset val="134"/>
      </rPr>
      <t>胃肠道彩超</t>
    </r>
    <r>
      <rPr>
        <sz val="9"/>
        <rFont val="Arial"/>
        <charset val="1"/>
      </rPr>
      <t>;</t>
    </r>
    <r>
      <rPr>
        <sz val="9"/>
        <rFont val="Noto Sans CJK SC"/>
        <charset val="134"/>
      </rPr>
      <t>床旁彩超</t>
    </r>
    <r>
      <rPr>
        <sz val="9"/>
        <rFont val="Arial"/>
        <charset val="1"/>
      </rPr>
      <t>(</t>
    </r>
    <r>
      <rPr>
        <sz val="9"/>
        <rFont val="Noto Sans CJK SC"/>
        <charset val="134"/>
      </rPr>
      <t>免费</t>
    </r>
    <r>
      <rPr>
        <sz val="9"/>
        <rFont val="Arial"/>
        <charset val="1"/>
      </rPr>
      <t>)</t>
    </r>
  </si>
  <si>
    <r>
      <rPr>
        <sz val="9"/>
        <rFont val="Noto Sans CJK SC"/>
        <charset val="134"/>
      </rPr>
      <t>床旁超声检查：
腹腔内可见较多肠气强反射回声，未见明显局限性肿块图像及积液征。
超声观察下，经胃管将</t>
    </r>
    <r>
      <rPr>
        <sz val="9"/>
        <rFont val="Arial"/>
        <charset val="1"/>
      </rPr>
      <t>50ml</t>
    </r>
    <r>
      <rPr>
        <sz val="9"/>
        <rFont val="Noto Sans CJK SC"/>
        <charset val="134"/>
      </rPr>
      <t>生理盐水注入胃腔内，胃窦明显扩张，十二指肠球部及降段扩张较缓慢，液体通过幽门，动态观察，可见十二指肠近段内液体返流回幽门处。在胰头水平，十二指肠降段管腔逐渐变窄，未见明显扩张，少量生理盐水可通过此处。此处胰头形态欠规则。</t>
    </r>
  </si>
  <si>
    <t>十二指肠降段远段管腔狭窄可能，环状胰腺不排除，请结合临床。</t>
  </si>
  <si>
    <r>
      <rPr>
        <sz val="9"/>
        <rFont val="Noto Sans CJK SC"/>
        <charset val="134"/>
      </rPr>
      <t>床旁彩超</t>
    </r>
    <r>
      <rPr>
        <sz val="9"/>
        <rFont val="Arial"/>
        <charset val="1"/>
      </rPr>
      <t>(</t>
    </r>
    <r>
      <rPr>
        <sz val="9"/>
        <rFont val="Noto Sans CJK SC"/>
        <charset val="134"/>
      </rPr>
      <t>免费</t>
    </r>
    <r>
      <rPr>
        <sz val="9"/>
        <rFont val="Arial"/>
        <charset val="1"/>
      </rPr>
      <t>);</t>
    </r>
    <r>
      <rPr>
        <sz val="9"/>
        <rFont val="Noto Sans CJK SC"/>
        <charset val="134"/>
      </rPr>
      <t>腹部大血管彩超</t>
    </r>
    <r>
      <rPr>
        <sz val="9"/>
        <rFont val="Arial"/>
        <charset val="1"/>
      </rPr>
      <t>(</t>
    </r>
    <r>
      <rPr>
        <sz val="9"/>
        <rFont val="Noto Sans CJK SC"/>
        <charset val="134"/>
      </rPr>
      <t>含腹膜后</t>
    </r>
    <r>
      <rPr>
        <sz val="9"/>
        <rFont val="Arial"/>
        <charset val="1"/>
      </rPr>
      <t>)</t>
    </r>
  </si>
  <si>
    <r>
      <rPr>
        <sz val="9"/>
        <rFont val="Noto Sans CJK SC"/>
        <charset val="134"/>
      </rPr>
      <t xml:space="preserve">床边彩超所见：
因肠气遮挡，部分切面探查受限，可显示腹膜后大血管旁及其间隙内未见明显局限性肿块图像。
</t>
    </r>
    <r>
      <rPr>
        <sz val="9"/>
        <rFont val="Arial"/>
        <charset val="1"/>
      </rPr>
      <t>CDFI:</t>
    </r>
    <r>
      <rPr>
        <sz val="9"/>
        <rFont val="Noto Sans CJK SC"/>
        <charset val="134"/>
      </rPr>
      <t>上述部位未见明显异常血流信号。</t>
    </r>
  </si>
  <si>
    <t>可显示腹膜后未见明显异常。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</si>
</sst>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hh:mm"/>
  </numFmts>
  <fonts count="36">
    <font>
      <sz val="11"/>
      <color theme="1"/>
      <name val="Calibri"/>
      <charset val="1"/>
    </font>
    <font>
      <b/>
      <sz val="10"/>
      <color rgb="FFFFFFFF"/>
      <name val="Noto Sans CJK SC"/>
      <charset val="134"/>
    </font>
    <font>
      <sz val="9"/>
      <name val="Arial"/>
      <charset val="1"/>
    </font>
    <font>
      <sz val="9"/>
      <name val="Noto Sans CJK SC"/>
      <charset val="134"/>
    </font>
    <font>
      <b/>
      <sz val="14"/>
      <name val="Noto Sans CJK SC"/>
      <charset val="134"/>
    </font>
    <font>
      <b/>
      <sz val="11"/>
      <name val="Noto Sans CJK SC"/>
      <charset val="134"/>
    </font>
    <font>
      <sz val="10"/>
      <name val="Noto Sans CJK SC"/>
      <charset val="134"/>
    </font>
    <font>
      <b/>
      <sz val="11"/>
      <name val="Arial"/>
      <charset val="1"/>
    </font>
    <font>
      <b/>
      <sz val="10"/>
      <name val="Noto Sans CJK SC"/>
      <charset val="134"/>
    </font>
    <font>
      <sz val="10"/>
      <name val="Arial"/>
      <charset val="1"/>
    </font>
    <font>
      <b/>
      <sz val="10"/>
      <name val="Arial"/>
      <charset val="1"/>
    </font>
    <font>
      <i/>
      <sz val="10"/>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FFFFFF"/>
      <name val="Arial"/>
      <charset val="1"/>
    </font>
    <font>
      <b/>
      <sz val="10"/>
      <color rgb="FFFFFFFF"/>
      <name val="Arial"/>
      <charset val="134"/>
    </font>
    <font>
      <b/>
      <sz val="14"/>
      <name val="Arial"/>
      <charset val="1"/>
    </font>
  </fonts>
  <fills count="36">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Border="0" applyAlignment="0" applyProtection="0"/>
    <xf numFmtId="44" fontId="12" fillId="0" borderId="0" applyBorder="0" applyAlignment="0" applyProtection="0"/>
    <xf numFmtId="9" fontId="12" fillId="0" borderId="0" applyBorder="0" applyAlignment="0" applyProtection="0"/>
    <xf numFmtId="41" fontId="12" fillId="0" borderId="0" applyBorder="0" applyAlignment="0" applyProtection="0"/>
    <xf numFmtId="42" fontId="12" fillId="0" borderId="0" applyBorder="0" applyAlignment="0" applyProtection="0"/>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2">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176" fontId="2" fillId="0" borderId="1" xfId="0" applyNumberFormat="1" applyFont="1" applyBorder="1" applyAlignment="1">
      <alignment vertical="top" wrapText="1"/>
    </xf>
    <xf numFmtId="177" fontId="2" fillId="3" borderId="1" xfId="0" applyNumberFormat="1"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4" fillId="0" borderId="0" xfId="0" applyFont="1"/>
    <xf numFmtId="0" fontId="5" fillId="0" borderId="0" xfId="0" applyFont="1"/>
    <xf numFmtId="0" fontId="6" fillId="0" borderId="0" xfId="0" applyFont="1" applyBorder="1" applyAlignment="1">
      <alignment vertical="top" wrapText="1"/>
    </xf>
    <xf numFmtId="0" fontId="7" fillId="0" borderId="0" xfId="0" applyFont="1"/>
    <xf numFmtId="0" fontId="8" fillId="0" borderId="0" xfId="0" applyFont="1" applyAlignment="1">
      <alignment vertical="top"/>
    </xf>
    <xf numFmtId="0" fontId="6"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xf>
    <xf numFmtId="0" fontId="10" fillId="0" borderId="0" xfId="0" applyFont="1"/>
    <xf numFmtId="0" fontId="9" fillId="0" borderId="0" xfId="0" applyFont="1" applyAlignment="1">
      <alignment horizontal="left"/>
    </xf>
    <xf numFmtId="0" fontId="9" fillId="0" borderId="0" xfId="0" applyFont="1"/>
    <xf numFmtId="0" fontId="1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CE4D6"/>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D35"/>
  <sheetViews>
    <sheetView topLeftCell="A15" workbookViewId="0">
      <selection activeCell="A1" sqref="A1"/>
    </sheetView>
  </sheetViews>
  <sheetFormatPr defaultColWidth="8.53703703703704" defaultRowHeight="14.4" outlineLevelCol="3"/>
  <cols>
    <col min="1" max="1" width="3" customWidth="1"/>
    <col min="2" max="2" width="24" customWidth="1"/>
    <col min="3" max="3" width="100" customWidth="1"/>
    <col min="4" max="4" width="32" customWidth="1"/>
  </cols>
  <sheetData>
    <row r="1" ht="17.4" spans="2:3">
      <c r="B1" s="10" t="s">
        <v>0</v>
      </c>
    </row>
    <row r="3" spans="2:3">
      <c r="B3" s="11" t="s">
        <v>1</v>
      </c>
    </row>
    <row r="4" ht="30" customHeight="1" spans="2:3">
      <c r="B4" s="12" t="s">
        <v>2</v>
      </c>
      <c r="C4" s="12"/>
    </row>
    <row r="5" ht="30" customHeight="1" spans="2:3">
      <c r="B5" s="12" t="s">
        <v>3</v>
      </c>
      <c r="C5" s="12"/>
    </row>
    <row r="7" spans="2:3">
      <c r="B7" s="13" t="s">
        <v>4</v>
      </c>
    </row>
    <row r="8" ht="15.75" customHeight="1" spans="2:3">
      <c r="B8" s="14" t="s">
        <v>5</v>
      </c>
      <c r="C8" s="15" t="s">
        <v>6</v>
      </c>
    </row>
    <row r="9" ht="15.75" customHeight="1" spans="2:3">
      <c r="B9" s="14" t="s">
        <v>7</v>
      </c>
      <c r="C9" s="15" t="s">
        <v>8</v>
      </c>
    </row>
    <row r="10" ht="30" customHeight="1" spans="2:3">
      <c r="B10" s="14" t="s">
        <v>9</v>
      </c>
      <c r="C10" s="16" t="s">
        <v>10</v>
      </c>
    </row>
    <row r="11" ht="30" customHeight="1" spans="2:3">
      <c r="B11" s="14" t="s">
        <v>11</v>
      </c>
      <c r="C11" s="16" t="s">
        <v>12</v>
      </c>
    </row>
    <row r="13" spans="2:3">
      <c r="B13" s="13" t="s">
        <v>13</v>
      </c>
    </row>
    <row r="14" ht="30" customHeight="1" spans="2:3">
      <c r="B14" s="14" t="s">
        <v>14</v>
      </c>
      <c r="C14" s="15" t="s">
        <v>15</v>
      </c>
    </row>
    <row r="15" ht="30" customHeight="1" spans="2:3">
      <c r="B15" s="14" t="s">
        <v>16</v>
      </c>
      <c r="C15" s="15" t="s">
        <v>17</v>
      </c>
    </row>
    <row r="16" ht="30" customHeight="1" spans="2:3">
      <c r="B16" s="14" t="s">
        <v>18</v>
      </c>
      <c r="C16" s="15" t="s">
        <v>19</v>
      </c>
    </row>
    <row r="17" ht="30" customHeight="1" spans="2:4">
      <c r="B17" s="14" t="s">
        <v>20</v>
      </c>
      <c r="C17" s="15" t="s">
        <v>21</v>
      </c>
    </row>
    <row r="19" spans="2:4">
      <c r="B19" s="13" t="s">
        <v>22</v>
      </c>
    </row>
    <row r="20" ht="30" customHeight="1" spans="2:4">
      <c r="B20" s="14" t="s">
        <v>5</v>
      </c>
      <c r="C20" s="15" t="s">
        <v>23</v>
      </c>
    </row>
    <row r="21" ht="15.75" customHeight="1" spans="2:4">
      <c r="B21" s="14" t="s">
        <v>7</v>
      </c>
      <c r="C21" s="15" t="s">
        <v>24</v>
      </c>
    </row>
    <row r="22" ht="45" customHeight="1" spans="2:4">
      <c r="B22" s="14" t="s">
        <v>25</v>
      </c>
      <c r="C22" s="15" t="s">
        <v>26</v>
      </c>
    </row>
    <row r="23" ht="15.75" customHeight="1" spans="2:4">
      <c r="B23" s="14" t="s">
        <v>27</v>
      </c>
      <c r="C23" s="15" t="s">
        <v>28</v>
      </c>
    </row>
    <row r="25" spans="2:4">
      <c r="B25" s="11" t="s">
        <v>29</v>
      </c>
    </row>
    <row r="26" ht="30" customHeight="1" spans="2:4">
      <c r="B26" s="17" t="s">
        <v>30</v>
      </c>
      <c r="C26" s="15" t="s">
        <v>31</v>
      </c>
    </row>
    <row r="27" ht="15.75" customHeight="1" spans="2:4">
      <c r="B27" s="17" t="s">
        <v>32</v>
      </c>
      <c r="C27" s="16" t="s">
        <v>33</v>
      </c>
    </row>
    <row r="28" ht="30" customHeight="1" spans="2:4">
      <c r="B28" s="17" t="s">
        <v>34</v>
      </c>
      <c r="C28" s="15" t="s">
        <v>35</v>
      </c>
    </row>
    <row r="30" spans="2:4">
      <c r="B30" s="11" t="s">
        <v>36</v>
      </c>
    </row>
    <row r="31" spans="2:4">
      <c r="B31" s="18" t="s">
        <v>37</v>
      </c>
      <c r="C31" s="19">
        <f>COUNTA(S1_锚定手术判定!K2:K35)</f>
        <v>34</v>
      </c>
      <c r="D31" s="20" t="s">
        <v>38</v>
      </c>
    </row>
    <row r="32" spans="2:4">
      <c r="B32" s="18" t="s">
        <v>39</v>
      </c>
      <c r="C32" s="19">
        <f>SUMPRODUCT(--(((S2_术前时间核对!K2:K182&lt;&gt;"")+(S2_术前时间核对!M2:M182&lt;&gt;""))&gt;0))</f>
        <v>181</v>
      </c>
      <c r="D32" s="20" t="s">
        <v>40</v>
      </c>
    </row>
    <row r="33" spans="2:4">
      <c r="B33" s="18" t="s">
        <v>41</v>
      </c>
      <c r="C33" s="19">
        <f>COUNTIF(S3_超声报告阅读_甲!Q2:Q120,"?*")</f>
        <v>119</v>
      </c>
      <c r="D33" s="20" t="s">
        <v>42</v>
      </c>
    </row>
    <row r="35" spans="2:4">
      <c r="B35" s="21" t="s">
        <v>43</v>
      </c>
    </row>
  </sheetData>
  <mergeCells count="2">
    <mergeCell ref="B4:C4"/>
    <mergeCell ref="B5:C5"/>
  </mergeCells>
  <pageMargins left="0.75" right="0.75" top="1" bottom="1" header="0.511811023622047" footer="0.511811023622047"/>
  <pageSetup paperSize="9" fitToHeight="0"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5"/>
  <sheetViews>
    <sheetView workbookViewId="0">
      <pane xSplit="2" ySplit="1" topLeftCell="F34" activePane="bottomRight" state="frozen"/>
      <selection/>
      <selection pane="topRight"/>
      <selection pane="bottomLeft"/>
      <selection pane="bottomRight" activeCell="K35" sqref="K35"/>
    </sheetView>
  </sheetViews>
  <sheetFormatPr defaultColWidth="8.53703703703704" defaultRowHeight="14.4"/>
  <cols>
    <col min="1" max="1" width="5" customWidth="1"/>
    <col min="2" max="2" width="10" customWidth="1"/>
    <col min="3" max="3" width="30" customWidth="1"/>
    <col min="4" max="4" width="11" customWidth="1"/>
    <col min="5" max="5" width="9" customWidth="1"/>
    <col min="6" max="6" width="34" customWidth="1"/>
    <col min="7" max="7" width="30" customWidth="1"/>
    <col min="8" max="8" width="70" customWidth="1"/>
    <col min="9" max="9" width="46" customWidth="1"/>
    <col min="10" max="10" width="16" customWidth="1"/>
    <col min="11" max="11" width="22" customWidth="1"/>
    <col min="12" max="12" width="26" customWidth="1"/>
  </cols>
  <sheetData>
    <row r="1" ht="33.75" customHeight="1" spans="1:12">
      <c r="A1" s="1" t="s">
        <v>44</v>
      </c>
      <c r="B1" s="1" t="s">
        <v>45</v>
      </c>
      <c r="C1" s="1" t="s">
        <v>46</v>
      </c>
      <c r="D1" s="1" t="s">
        <v>47</v>
      </c>
      <c r="E1" s="1" t="s">
        <v>48</v>
      </c>
      <c r="F1" s="1" t="s">
        <v>49</v>
      </c>
      <c r="G1" s="1" t="s">
        <v>50</v>
      </c>
      <c r="H1" s="1" t="s">
        <v>51</v>
      </c>
      <c r="I1" s="1" t="s">
        <v>52</v>
      </c>
      <c r="J1" s="1" t="s">
        <v>53</v>
      </c>
      <c r="K1" s="1" t="s">
        <v>54</v>
      </c>
      <c r="L1" s="1" t="s">
        <v>55</v>
      </c>
    </row>
    <row r="2" ht="147" customHeight="1" spans="1:12">
      <c r="A2" s="2">
        <v>1</v>
      </c>
      <c r="B2" s="2">
        <v>313858</v>
      </c>
      <c r="C2" s="3" t="s">
        <v>56</v>
      </c>
      <c r="D2" s="2" t="s">
        <v>57</v>
      </c>
      <c r="E2" s="2">
        <v>1</v>
      </c>
      <c r="F2" s="3" t="s">
        <v>58</v>
      </c>
      <c r="G2" s="2"/>
      <c r="H2" s="2" t="s">
        <v>59</v>
      </c>
      <c r="I2" s="3" t="s">
        <v>60</v>
      </c>
      <c r="J2" s="2" t="s">
        <v>61</v>
      </c>
      <c r="K2" s="8" t="s">
        <v>62</v>
      </c>
      <c r="L2" s="8"/>
    </row>
    <row r="3" ht="225" customHeight="1" spans="1:12">
      <c r="A3" s="2">
        <v>2</v>
      </c>
      <c r="B3" s="2">
        <v>347541</v>
      </c>
      <c r="C3" s="3" t="s">
        <v>56</v>
      </c>
      <c r="D3" s="2" t="s">
        <v>63</v>
      </c>
      <c r="E3" s="2">
        <v>1</v>
      </c>
      <c r="F3" s="3" t="s">
        <v>64</v>
      </c>
      <c r="G3" s="3" t="s">
        <v>65</v>
      </c>
      <c r="H3" s="3" t="s">
        <v>66</v>
      </c>
      <c r="I3" s="3" t="s">
        <v>67</v>
      </c>
      <c r="J3" s="2" t="s">
        <v>68</v>
      </c>
      <c r="K3" s="8" t="s">
        <v>62</v>
      </c>
      <c r="L3" s="8"/>
    </row>
    <row r="4" ht="147" customHeight="1" spans="1:12">
      <c r="A4" s="2">
        <v>3</v>
      </c>
      <c r="B4" s="2">
        <v>364713</v>
      </c>
      <c r="C4" s="3" t="s">
        <v>69</v>
      </c>
      <c r="D4" s="2" t="s">
        <v>70</v>
      </c>
      <c r="E4" s="2">
        <v>1</v>
      </c>
      <c r="F4" s="3" t="s">
        <v>71</v>
      </c>
      <c r="G4" s="3" t="s">
        <v>72</v>
      </c>
      <c r="H4" s="3" t="s">
        <v>73</v>
      </c>
      <c r="I4" s="3" t="s">
        <v>74</v>
      </c>
      <c r="J4" s="2" t="s">
        <v>75</v>
      </c>
      <c r="K4" s="8" t="s">
        <v>76</v>
      </c>
      <c r="L4" s="8"/>
    </row>
    <row r="5" ht="55.5" customHeight="1" spans="1:12">
      <c r="A5" s="2">
        <v>4</v>
      </c>
      <c r="B5" s="2">
        <v>1325420</v>
      </c>
      <c r="C5" s="3" t="s">
        <v>77</v>
      </c>
      <c r="D5" s="2" t="s">
        <v>78</v>
      </c>
      <c r="E5" s="2">
        <v>1</v>
      </c>
      <c r="F5" s="2" t="s">
        <v>79</v>
      </c>
      <c r="G5" s="3" t="s">
        <v>80</v>
      </c>
      <c r="H5" s="3" t="s">
        <v>81</v>
      </c>
      <c r="I5" s="3" t="s">
        <v>82</v>
      </c>
      <c r="J5" s="3" t="s">
        <v>83</v>
      </c>
      <c r="K5" s="8" t="s">
        <v>76</v>
      </c>
      <c r="L5" s="8"/>
    </row>
    <row r="6" ht="55.5" customHeight="1" spans="1:12">
      <c r="A6" s="2">
        <v>5</v>
      </c>
      <c r="B6" s="2">
        <v>1463669</v>
      </c>
      <c r="C6" s="3" t="s">
        <v>84</v>
      </c>
      <c r="D6" s="2" t="s">
        <v>85</v>
      </c>
      <c r="E6" s="2">
        <v>1</v>
      </c>
      <c r="F6" s="3" t="s">
        <v>86</v>
      </c>
      <c r="G6" s="3" t="s">
        <v>87</v>
      </c>
      <c r="H6" s="2" t="s">
        <v>88</v>
      </c>
      <c r="I6" s="3" t="s">
        <v>89</v>
      </c>
      <c r="J6" s="3" t="s">
        <v>83</v>
      </c>
      <c r="K6" s="8" t="s">
        <v>76</v>
      </c>
      <c r="L6" s="8"/>
    </row>
    <row r="7" ht="211.5" customHeight="1" spans="1:12">
      <c r="A7" s="2">
        <v>6</v>
      </c>
      <c r="B7" s="2">
        <v>1514720</v>
      </c>
      <c r="C7" s="3" t="s">
        <v>56</v>
      </c>
      <c r="D7" s="2" t="s">
        <v>90</v>
      </c>
      <c r="E7" s="2">
        <v>1</v>
      </c>
      <c r="F7" s="3" t="s">
        <v>91</v>
      </c>
      <c r="G7" s="3" t="s">
        <v>92</v>
      </c>
      <c r="H7" s="2" t="s">
        <v>93</v>
      </c>
      <c r="I7" s="3" t="s">
        <v>94</v>
      </c>
      <c r="J7" s="2" t="s">
        <v>68</v>
      </c>
      <c r="K7" s="8" t="s">
        <v>62</v>
      </c>
      <c r="L7" s="8"/>
    </row>
    <row r="8" ht="172.5" customHeight="1" spans="1:12">
      <c r="A8" s="2">
        <v>7</v>
      </c>
      <c r="B8" s="2">
        <v>1978690</v>
      </c>
      <c r="C8" s="3" t="s">
        <v>56</v>
      </c>
      <c r="D8" s="2" t="s">
        <v>95</v>
      </c>
      <c r="E8" s="2">
        <v>1</v>
      </c>
      <c r="F8" s="3" t="s">
        <v>96</v>
      </c>
      <c r="G8" s="3" t="s">
        <v>97</v>
      </c>
      <c r="H8" s="2" t="s">
        <v>98</v>
      </c>
      <c r="I8" s="3" t="s">
        <v>99</v>
      </c>
      <c r="J8" s="3" t="s">
        <v>83</v>
      </c>
      <c r="K8" s="8" t="s">
        <v>62</v>
      </c>
      <c r="L8" s="8"/>
    </row>
    <row r="9" ht="159.75" customHeight="1" spans="1:12">
      <c r="A9" s="2">
        <v>8</v>
      </c>
      <c r="B9" s="2">
        <v>2080111</v>
      </c>
      <c r="C9" s="3" t="s">
        <v>100</v>
      </c>
      <c r="D9" s="2" t="s">
        <v>101</v>
      </c>
      <c r="E9" s="2">
        <v>1</v>
      </c>
      <c r="F9" s="3" t="s">
        <v>102</v>
      </c>
      <c r="G9" s="3" t="s">
        <v>103</v>
      </c>
      <c r="H9" s="2" t="s">
        <v>104</v>
      </c>
      <c r="I9" s="3" t="s">
        <v>105</v>
      </c>
      <c r="J9" s="3" t="s">
        <v>83</v>
      </c>
      <c r="K9" s="8" t="s">
        <v>106</v>
      </c>
      <c r="L9" s="8"/>
    </row>
    <row r="10" ht="172.5" customHeight="1" spans="1:12">
      <c r="A10" s="2">
        <v>9</v>
      </c>
      <c r="B10" s="2">
        <v>2385429</v>
      </c>
      <c r="C10" s="3" t="s">
        <v>56</v>
      </c>
      <c r="D10" s="2" t="s">
        <v>107</v>
      </c>
      <c r="E10" s="2">
        <v>1</v>
      </c>
      <c r="F10" s="3" t="s">
        <v>108</v>
      </c>
      <c r="G10" s="3" t="s">
        <v>109</v>
      </c>
      <c r="H10" s="2" t="s">
        <v>110</v>
      </c>
      <c r="I10" s="3" t="s">
        <v>111</v>
      </c>
      <c r="J10" s="2" t="s">
        <v>61</v>
      </c>
      <c r="K10" s="8" t="s">
        <v>62</v>
      </c>
      <c r="L10" s="8"/>
    </row>
    <row r="11" ht="120.75" customHeight="1" spans="1:12">
      <c r="A11" s="2">
        <v>10</v>
      </c>
      <c r="B11" s="2">
        <v>2605894</v>
      </c>
      <c r="C11" s="3" t="s">
        <v>56</v>
      </c>
      <c r="D11" s="2" t="s">
        <v>112</v>
      </c>
      <c r="E11" s="2">
        <v>1</v>
      </c>
      <c r="F11" s="3" t="s">
        <v>113</v>
      </c>
      <c r="G11" s="3" t="s">
        <v>114</v>
      </c>
      <c r="H11" s="3" t="s">
        <v>115</v>
      </c>
      <c r="I11" s="3" t="s">
        <v>116</v>
      </c>
      <c r="J11" s="3" t="s">
        <v>83</v>
      </c>
      <c r="K11" s="8" t="s">
        <v>62</v>
      </c>
      <c r="L11" s="8"/>
    </row>
    <row r="12" ht="120.75" customHeight="1" spans="1:12">
      <c r="A12" s="2">
        <v>11</v>
      </c>
      <c r="B12" s="2">
        <v>2747328</v>
      </c>
      <c r="C12" s="3" t="s">
        <v>56</v>
      </c>
      <c r="D12" s="2" t="s">
        <v>117</v>
      </c>
      <c r="E12" s="2">
        <v>1</v>
      </c>
      <c r="F12" s="3" t="s">
        <v>118</v>
      </c>
      <c r="G12" s="3" t="s">
        <v>97</v>
      </c>
      <c r="H12" s="2" t="s">
        <v>119</v>
      </c>
      <c r="I12" s="3" t="s">
        <v>120</v>
      </c>
      <c r="J12" s="2" t="s">
        <v>121</v>
      </c>
      <c r="K12" s="8" t="s">
        <v>62</v>
      </c>
      <c r="L12" s="8"/>
    </row>
    <row r="13" ht="159.75" customHeight="1" spans="1:12">
      <c r="A13" s="2">
        <v>12</v>
      </c>
      <c r="B13" s="2">
        <v>2878364</v>
      </c>
      <c r="C13" s="3" t="s">
        <v>56</v>
      </c>
      <c r="D13" s="2" t="s">
        <v>122</v>
      </c>
      <c r="E13" s="2">
        <v>1</v>
      </c>
      <c r="F13" s="3" t="s">
        <v>123</v>
      </c>
      <c r="G13" s="3" t="s">
        <v>124</v>
      </c>
      <c r="H13" s="3" t="s">
        <v>125</v>
      </c>
      <c r="I13" s="3" t="s">
        <v>126</v>
      </c>
      <c r="J13" s="2" t="s">
        <v>68</v>
      </c>
      <c r="K13" s="8" t="s">
        <v>62</v>
      </c>
      <c r="L13" s="8"/>
    </row>
    <row r="14" ht="120.75" customHeight="1" spans="1:12">
      <c r="A14" s="2">
        <v>13</v>
      </c>
      <c r="B14" s="2">
        <v>2923612</v>
      </c>
      <c r="C14" s="3" t="s">
        <v>56</v>
      </c>
      <c r="D14" s="2" t="s">
        <v>127</v>
      </c>
      <c r="E14" s="2">
        <v>1</v>
      </c>
      <c r="F14" s="3" t="s">
        <v>128</v>
      </c>
      <c r="G14" s="3" t="s">
        <v>129</v>
      </c>
      <c r="H14" s="3" t="s">
        <v>130</v>
      </c>
      <c r="I14" s="3" t="s">
        <v>131</v>
      </c>
      <c r="J14" s="3" t="s">
        <v>83</v>
      </c>
      <c r="K14" s="8" t="s">
        <v>62</v>
      </c>
      <c r="L14" s="8"/>
    </row>
    <row r="15" ht="147" customHeight="1" spans="1:12">
      <c r="A15" s="2">
        <v>14</v>
      </c>
      <c r="B15" s="2">
        <v>3298398</v>
      </c>
      <c r="C15" s="3" t="s">
        <v>56</v>
      </c>
      <c r="D15" s="2" t="s">
        <v>132</v>
      </c>
      <c r="E15" s="2">
        <v>1</v>
      </c>
      <c r="F15" s="3" t="s">
        <v>133</v>
      </c>
      <c r="G15" s="3" t="s">
        <v>97</v>
      </c>
      <c r="H15" s="2" t="s">
        <v>134</v>
      </c>
      <c r="I15" s="3" t="s">
        <v>135</v>
      </c>
      <c r="J15" s="2" t="s">
        <v>121</v>
      </c>
      <c r="K15" s="8" t="s">
        <v>62</v>
      </c>
      <c r="L15" s="8"/>
    </row>
    <row r="16" ht="225" customHeight="1" spans="1:12">
      <c r="A16" s="2">
        <v>15</v>
      </c>
      <c r="B16" s="2">
        <v>3337952</v>
      </c>
      <c r="C16" s="3" t="s">
        <v>56</v>
      </c>
      <c r="D16" s="2" t="s">
        <v>63</v>
      </c>
      <c r="E16" s="2">
        <v>1</v>
      </c>
      <c r="F16" s="3" t="s">
        <v>136</v>
      </c>
      <c r="G16" s="3" t="s">
        <v>137</v>
      </c>
      <c r="H16" s="2" t="s">
        <v>138</v>
      </c>
      <c r="I16" s="3" t="s">
        <v>139</v>
      </c>
      <c r="J16" s="3" t="s">
        <v>83</v>
      </c>
      <c r="K16" s="8" t="s">
        <v>62</v>
      </c>
      <c r="L16" s="8"/>
    </row>
    <row r="17" ht="159.75" customHeight="1" spans="1:12">
      <c r="A17" s="2">
        <v>16</v>
      </c>
      <c r="B17" s="2">
        <v>3429325</v>
      </c>
      <c r="C17" s="3" t="s">
        <v>56</v>
      </c>
      <c r="D17" s="2" t="s">
        <v>140</v>
      </c>
      <c r="E17" s="2">
        <v>1</v>
      </c>
      <c r="F17" s="3" t="s">
        <v>141</v>
      </c>
      <c r="G17" s="3" t="s">
        <v>142</v>
      </c>
      <c r="H17" s="2" t="s">
        <v>143</v>
      </c>
      <c r="I17" s="3" t="s">
        <v>144</v>
      </c>
      <c r="J17" s="2" t="s">
        <v>68</v>
      </c>
      <c r="K17" s="8" t="s">
        <v>62</v>
      </c>
      <c r="L17" s="8"/>
    </row>
    <row r="18" ht="172.5" customHeight="1" spans="1:12">
      <c r="A18" s="2">
        <v>17</v>
      </c>
      <c r="B18" s="2">
        <v>3725205</v>
      </c>
      <c r="C18" s="3" t="s">
        <v>56</v>
      </c>
      <c r="D18" s="2" t="s">
        <v>145</v>
      </c>
      <c r="E18" s="2">
        <v>1</v>
      </c>
      <c r="F18" s="3" t="s">
        <v>146</v>
      </c>
      <c r="G18" s="2"/>
      <c r="H18" s="3" t="s">
        <v>147</v>
      </c>
      <c r="I18" s="3" t="s">
        <v>148</v>
      </c>
      <c r="J18" s="3" t="s">
        <v>83</v>
      </c>
      <c r="K18" s="8" t="s">
        <v>62</v>
      </c>
      <c r="L18" s="8"/>
    </row>
    <row r="19" ht="211.5" customHeight="1" spans="1:12">
      <c r="A19" s="2">
        <v>18</v>
      </c>
      <c r="B19" s="2">
        <v>3987046</v>
      </c>
      <c r="C19" s="3" t="s">
        <v>56</v>
      </c>
      <c r="D19" s="2" t="s">
        <v>149</v>
      </c>
      <c r="E19" s="2">
        <v>1</v>
      </c>
      <c r="F19" s="3" t="s">
        <v>150</v>
      </c>
      <c r="G19" s="3" t="s">
        <v>151</v>
      </c>
      <c r="H19" s="2" t="s">
        <v>152</v>
      </c>
      <c r="I19" s="3" t="s">
        <v>153</v>
      </c>
      <c r="J19" s="3" t="s">
        <v>83</v>
      </c>
      <c r="K19" s="8" t="s">
        <v>62</v>
      </c>
      <c r="L19" s="8"/>
    </row>
    <row r="20" ht="198.75" customHeight="1" spans="1:12">
      <c r="A20" s="2">
        <v>19</v>
      </c>
      <c r="B20" s="2">
        <v>4302965</v>
      </c>
      <c r="C20" s="3" t="s">
        <v>56</v>
      </c>
      <c r="D20" s="2" t="s">
        <v>154</v>
      </c>
      <c r="E20" s="2">
        <v>1</v>
      </c>
      <c r="F20" s="3" t="s">
        <v>155</v>
      </c>
      <c r="G20" s="3" t="s">
        <v>156</v>
      </c>
      <c r="H20" s="2" t="s">
        <v>157</v>
      </c>
      <c r="I20" s="3" t="s">
        <v>158</v>
      </c>
      <c r="J20" s="2" t="s">
        <v>159</v>
      </c>
      <c r="K20" s="8" t="s">
        <v>62</v>
      </c>
      <c r="L20" s="8"/>
    </row>
    <row r="21" ht="147" customHeight="1" spans="1:12">
      <c r="A21" s="2">
        <v>20</v>
      </c>
      <c r="B21" s="2">
        <v>4370043</v>
      </c>
      <c r="C21" s="3" t="s">
        <v>100</v>
      </c>
      <c r="D21" s="2" t="s">
        <v>160</v>
      </c>
      <c r="E21" s="2">
        <v>1</v>
      </c>
      <c r="F21" s="2" t="s">
        <v>161</v>
      </c>
      <c r="G21" s="3" t="s">
        <v>162</v>
      </c>
      <c r="H21" s="2" t="s">
        <v>163</v>
      </c>
      <c r="I21" s="3" t="s">
        <v>164</v>
      </c>
      <c r="J21" s="2" t="s">
        <v>68</v>
      </c>
      <c r="K21" s="8" t="s">
        <v>106</v>
      </c>
      <c r="L21" s="8"/>
    </row>
    <row r="22" ht="133.5" customHeight="1" spans="1:12">
      <c r="A22" s="2">
        <v>21</v>
      </c>
      <c r="B22" s="2">
        <v>5400633</v>
      </c>
      <c r="C22" s="3" t="s">
        <v>100</v>
      </c>
      <c r="D22" s="2" t="s">
        <v>165</v>
      </c>
      <c r="E22" s="2">
        <v>1</v>
      </c>
      <c r="F22" s="3" t="s">
        <v>166</v>
      </c>
      <c r="G22" s="3" t="s">
        <v>167</v>
      </c>
      <c r="H22" s="2" t="s">
        <v>168</v>
      </c>
      <c r="I22" s="3" t="s">
        <v>169</v>
      </c>
      <c r="J22" s="2" t="s">
        <v>75</v>
      </c>
      <c r="K22" s="8" t="s">
        <v>106</v>
      </c>
      <c r="L22" s="8"/>
    </row>
    <row r="23" ht="211.5" customHeight="1" spans="1:12">
      <c r="A23" s="2">
        <v>22</v>
      </c>
      <c r="B23" s="2">
        <v>6369231</v>
      </c>
      <c r="C23" s="3" t="s">
        <v>56</v>
      </c>
      <c r="D23" s="2" t="s">
        <v>170</v>
      </c>
      <c r="E23" s="2">
        <v>1</v>
      </c>
      <c r="F23" s="3" t="s">
        <v>171</v>
      </c>
      <c r="G23" s="3" t="s">
        <v>172</v>
      </c>
      <c r="H23" s="3" t="s">
        <v>173</v>
      </c>
      <c r="I23" s="3" t="s">
        <v>174</v>
      </c>
      <c r="J23" s="2" t="s">
        <v>68</v>
      </c>
      <c r="K23" s="8" t="s">
        <v>62</v>
      </c>
      <c r="L23" s="8"/>
    </row>
    <row r="24" ht="172.5" customHeight="1" spans="1:12">
      <c r="A24" s="2">
        <v>23</v>
      </c>
      <c r="B24" s="2">
        <v>8264993</v>
      </c>
      <c r="C24" s="3" t="s">
        <v>56</v>
      </c>
      <c r="D24" s="2" t="s">
        <v>175</v>
      </c>
      <c r="E24" s="2">
        <v>1</v>
      </c>
      <c r="F24" s="3" t="s">
        <v>176</v>
      </c>
      <c r="G24" s="3" t="s">
        <v>177</v>
      </c>
      <c r="H24" s="2" t="s">
        <v>178</v>
      </c>
      <c r="I24" s="3" t="s">
        <v>179</v>
      </c>
      <c r="J24" s="2" t="s">
        <v>180</v>
      </c>
      <c r="K24" s="8" t="s">
        <v>62</v>
      </c>
      <c r="L24" s="8"/>
    </row>
    <row r="25" ht="211.5" customHeight="1" spans="1:12">
      <c r="A25" s="2">
        <v>24</v>
      </c>
      <c r="B25" s="2">
        <v>8336031</v>
      </c>
      <c r="C25" s="3" t="s">
        <v>100</v>
      </c>
      <c r="D25" s="2" t="s">
        <v>181</v>
      </c>
      <c r="E25" s="2">
        <v>1</v>
      </c>
      <c r="F25" s="2" t="s">
        <v>182</v>
      </c>
      <c r="G25" s="3" t="s">
        <v>183</v>
      </c>
      <c r="H25" s="3" t="s">
        <v>184</v>
      </c>
      <c r="I25" s="3" t="s">
        <v>185</v>
      </c>
      <c r="J25" s="2" t="s">
        <v>186</v>
      </c>
      <c r="K25" s="8" t="s">
        <v>106</v>
      </c>
      <c r="L25" s="8"/>
    </row>
    <row r="26" ht="133.5" customHeight="1" spans="1:12">
      <c r="A26" s="2">
        <v>25</v>
      </c>
      <c r="B26" s="2">
        <v>17337851</v>
      </c>
      <c r="C26" s="3" t="s">
        <v>100</v>
      </c>
      <c r="D26" s="2" t="s">
        <v>187</v>
      </c>
      <c r="E26" s="2">
        <v>1</v>
      </c>
      <c r="F26" s="3" t="s">
        <v>188</v>
      </c>
      <c r="G26" s="3" t="s">
        <v>189</v>
      </c>
      <c r="H26" s="3" t="s">
        <v>190</v>
      </c>
      <c r="I26" s="3" t="s">
        <v>191</v>
      </c>
      <c r="J26" s="2" t="s">
        <v>192</v>
      </c>
      <c r="K26" s="8" t="s">
        <v>106</v>
      </c>
      <c r="L26" s="8"/>
    </row>
    <row r="27" ht="94.5" customHeight="1" spans="1:12">
      <c r="A27" s="2">
        <v>26</v>
      </c>
      <c r="B27" s="2">
        <v>18598477</v>
      </c>
      <c r="C27" s="3" t="s">
        <v>193</v>
      </c>
      <c r="D27" s="2" t="s">
        <v>194</v>
      </c>
      <c r="E27" s="2">
        <v>1</v>
      </c>
      <c r="F27" s="3" t="s">
        <v>195</v>
      </c>
      <c r="G27" s="3" t="s">
        <v>196</v>
      </c>
      <c r="H27" s="2" t="s">
        <v>197</v>
      </c>
      <c r="I27" s="3" t="s">
        <v>198</v>
      </c>
      <c r="J27" s="2" t="s">
        <v>186</v>
      </c>
      <c r="K27" s="8" t="s">
        <v>76</v>
      </c>
      <c r="L27" s="8"/>
    </row>
    <row r="28" ht="250.5" customHeight="1" spans="1:12">
      <c r="A28" s="2">
        <v>27</v>
      </c>
      <c r="B28" s="2">
        <v>20002991</v>
      </c>
      <c r="C28" s="3" t="s">
        <v>100</v>
      </c>
      <c r="D28" s="2" t="s">
        <v>199</v>
      </c>
      <c r="E28" s="2">
        <v>1</v>
      </c>
      <c r="F28" s="3" t="s">
        <v>200</v>
      </c>
      <c r="G28" s="3" t="s">
        <v>201</v>
      </c>
      <c r="H28" s="2" t="s">
        <v>202</v>
      </c>
      <c r="I28" s="3" t="s">
        <v>203</v>
      </c>
      <c r="J28" s="2" t="s">
        <v>186</v>
      </c>
      <c r="K28" s="8" t="s">
        <v>106</v>
      </c>
      <c r="L28" s="8"/>
    </row>
    <row r="29" ht="94.5" customHeight="1" spans="1:12">
      <c r="A29" s="2">
        <v>28</v>
      </c>
      <c r="B29" s="2">
        <v>28934957</v>
      </c>
      <c r="C29" s="3" t="s">
        <v>77</v>
      </c>
      <c r="D29" s="2" t="s">
        <v>204</v>
      </c>
      <c r="E29" s="2">
        <v>2</v>
      </c>
      <c r="F29" s="2" t="s">
        <v>205</v>
      </c>
      <c r="G29" s="3" t="s">
        <v>206</v>
      </c>
      <c r="H29" s="2" t="s">
        <v>207</v>
      </c>
      <c r="I29" s="3" t="s">
        <v>208</v>
      </c>
      <c r="J29" s="2" t="s">
        <v>68</v>
      </c>
      <c r="K29" s="8" t="s">
        <v>76</v>
      </c>
      <c r="L29" s="8"/>
    </row>
    <row r="30" ht="133.5" customHeight="1" spans="1:12">
      <c r="A30" s="2">
        <v>29</v>
      </c>
      <c r="B30" s="2">
        <v>31645511</v>
      </c>
      <c r="C30" s="3" t="s">
        <v>193</v>
      </c>
      <c r="D30" s="2" t="s">
        <v>209</v>
      </c>
      <c r="E30" s="2">
        <v>2</v>
      </c>
      <c r="F30" s="3" t="s">
        <v>210</v>
      </c>
      <c r="G30" s="3" t="s">
        <v>211</v>
      </c>
      <c r="H30" s="2" t="s">
        <v>212</v>
      </c>
      <c r="I30" s="3" t="s">
        <v>213</v>
      </c>
      <c r="J30" s="2" t="s">
        <v>159</v>
      </c>
      <c r="K30" s="8" t="s">
        <v>76</v>
      </c>
      <c r="L30" s="8"/>
    </row>
    <row r="31" ht="172.5" customHeight="1" spans="1:12">
      <c r="A31" s="2">
        <v>30</v>
      </c>
      <c r="B31" s="2">
        <v>35724137</v>
      </c>
      <c r="C31" s="3" t="s">
        <v>56</v>
      </c>
      <c r="D31" s="2" t="s">
        <v>214</v>
      </c>
      <c r="E31" s="2">
        <v>1</v>
      </c>
      <c r="F31" s="3" t="s">
        <v>215</v>
      </c>
      <c r="G31" s="3" t="s">
        <v>216</v>
      </c>
      <c r="H31" s="2" t="s">
        <v>217</v>
      </c>
      <c r="I31" s="3" t="s">
        <v>218</v>
      </c>
      <c r="J31" s="2" t="s">
        <v>219</v>
      </c>
      <c r="K31" s="8" t="s">
        <v>62</v>
      </c>
      <c r="L31" s="8"/>
    </row>
    <row r="32" ht="147" customHeight="1" spans="1:12">
      <c r="A32" s="2">
        <v>31</v>
      </c>
      <c r="B32" s="2">
        <v>14770822</v>
      </c>
      <c r="C32" s="3" t="s">
        <v>220</v>
      </c>
      <c r="D32" s="2" t="s">
        <v>221</v>
      </c>
      <c r="E32" s="2">
        <v>1</v>
      </c>
      <c r="F32" s="2" t="s">
        <v>222</v>
      </c>
      <c r="G32" s="3" t="s">
        <v>223</v>
      </c>
      <c r="H32" s="3" t="s">
        <v>224</v>
      </c>
      <c r="I32" s="3" t="s">
        <v>225</v>
      </c>
      <c r="J32" s="2" t="s">
        <v>226</v>
      </c>
      <c r="K32" s="8" t="s">
        <v>62</v>
      </c>
      <c r="L32" s="8"/>
    </row>
    <row r="33" ht="211.5" customHeight="1" spans="1:12">
      <c r="A33" s="2">
        <v>32</v>
      </c>
      <c r="B33" s="2">
        <v>17654124</v>
      </c>
      <c r="C33" s="3" t="s">
        <v>227</v>
      </c>
      <c r="D33" s="2" t="s">
        <v>228</v>
      </c>
      <c r="E33" s="2">
        <v>2</v>
      </c>
      <c r="F33" s="3" t="s">
        <v>229</v>
      </c>
      <c r="G33" s="3" t="s">
        <v>230</v>
      </c>
      <c r="H33" s="2" t="s">
        <v>231</v>
      </c>
      <c r="I33" s="3" t="s">
        <v>232</v>
      </c>
      <c r="J33" s="3" t="s">
        <v>83</v>
      </c>
      <c r="K33" s="8" t="s">
        <v>106</v>
      </c>
      <c r="L33" s="8"/>
    </row>
    <row r="34" ht="276.75" customHeight="1" spans="1:12">
      <c r="A34" s="2">
        <v>33</v>
      </c>
      <c r="B34" s="2">
        <v>18815691</v>
      </c>
      <c r="C34" s="3" t="s">
        <v>227</v>
      </c>
      <c r="D34" s="2" t="s">
        <v>233</v>
      </c>
      <c r="E34" s="2">
        <v>1</v>
      </c>
      <c r="F34" s="2" t="s">
        <v>234</v>
      </c>
      <c r="G34" s="3" t="s">
        <v>235</v>
      </c>
      <c r="H34" s="2" t="s">
        <v>236</v>
      </c>
      <c r="I34" s="3" t="s">
        <v>237</v>
      </c>
      <c r="J34" s="2" t="s">
        <v>238</v>
      </c>
      <c r="K34" s="8" t="s">
        <v>106</v>
      </c>
      <c r="L34" s="8"/>
    </row>
    <row r="35" ht="237.75" customHeight="1" spans="1:12">
      <c r="A35" s="2">
        <v>34</v>
      </c>
      <c r="B35" s="2">
        <v>36146398</v>
      </c>
      <c r="C35" s="3" t="s">
        <v>227</v>
      </c>
      <c r="D35" s="2" t="s">
        <v>239</v>
      </c>
      <c r="E35" s="2">
        <v>2</v>
      </c>
      <c r="F35" s="3" t="s">
        <v>240</v>
      </c>
      <c r="G35" s="3" t="s">
        <v>241</v>
      </c>
      <c r="H35" s="2" t="s">
        <v>242</v>
      </c>
      <c r="I35" s="3" t="s">
        <v>243</v>
      </c>
      <c r="J35" s="2" t="s">
        <v>121</v>
      </c>
      <c r="K35" s="8" t="s">
        <v>106</v>
      </c>
      <c r="L35" s="8"/>
    </row>
  </sheetData>
  <dataValidations count="1">
    <dataValidation type="list" allowBlank="1" errorTitle="请从下拉列表选择" error="请从下拉列表中选择一项。" sqref="K2:K35">
      <formula1>"本次手术确认肠旋转不良（保留）,非本次手术确认（排除）,复发再次手术（单独讨论）,无法判定"</formula1>
    </dataValidation>
  </dataValidations>
  <pageMargins left="0.75" right="0.75" top="1" bottom="1" header="0.511811023622047" footer="0.511811023622047"/>
  <pageSetup paperSize="9"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82"/>
  <sheetViews>
    <sheetView workbookViewId="0">
      <pane xSplit="2" ySplit="1" topLeftCell="C176" activePane="bottomRight" state="frozen"/>
      <selection/>
      <selection pane="topRight"/>
      <selection pane="bottomLeft"/>
      <selection pane="bottomRight" activeCell="M182" sqref="M182"/>
    </sheetView>
  </sheetViews>
  <sheetFormatPr defaultColWidth="8.53703703703704" defaultRowHeight="14.4"/>
  <cols>
    <col min="1" max="1" width="5" customWidth="1"/>
    <col min="2" max="2" width="11" customWidth="1"/>
    <col min="3" max="3" width="10" customWidth="1"/>
    <col min="4" max="4" width="11" customWidth="1"/>
    <col min="5" max="5" width="5.33333333333333" customWidth="1"/>
    <col min="6" max="6" width="16" customWidth="1"/>
    <col min="7" max="7" width="18" customWidth="1"/>
    <col min="8" max="8" width="52" customWidth="1"/>
    <col min="9" max="9" width="25.4444444444444" customWidth="1"/>
    <col min="10" max="10" width="11.8888888888889" customWidth="1"/>
    <col min="11" max="11" width="13" customWidth="1"/>
    <col min="12" max="12" width="11" customWidth="1"/>
    <col min="13" max="13" width="18" customWidth="1"/>
    <col min="14" max="14" width="20" customWidth="1"/>
  </cols>
  <sheetData>
    <row r="1" ht="60" customHeight="1" spans="1:14">
      <c r="A1" s="1" t="s">
        <v>44</v>
      </c>
      <c r="B1" s="1" t="s">
        <v>244</v>
      </c>
      <c r="C1" s="1" t="s">
        <v>45</v>
      </c>
      <c r="D1" s="1" t="s">
        <v>245</v>
      </c>
      <c r="E1" s="1" t="s">
        <v>246</v>
      </c>
      <c r="F1" s="1" t="s">
        <v>247</v>
      </c>
      <c r="G1" s="1" t="s">
        <v>248</v>
      </c>
      <c r="H1" s="1" t="s">
        <v>249</v>
      </c>
      <c r="I1" s="1" t="s">
        <v>250</v>
      </c>
      <c r="J1" s="1" t="s">
        <v>251</v>
      </c>
      <c r="K1" s="1" t="s">
        <v>252</v>
      </c>
      <c r="L1" s="1" t="s">
        <v>253</v>
      </c>
      <c r="M1" s="1" t="s">
        <v>54</v>
      </c>
      <c r="N1" s="1" t="s">
        <v>254</v>
      </c>
    </row>
    <row r="2" ht="55.5" customHeight="1" spans="1:14">
      <c r="A2" s="2">
        <v>1</v>
      </c>
      <c r="B2" s="3" t="s">
        <v>255</v>
      </c>
      <c r="C2" s="2">
        <v>90868</v>
      </c>
      <c r="D2" s="2" t="s">
        <v>256</v>
      </c>
      <c r="E2" s="2" t="s">
        <v>257</v>
      </c>
      <c r="F2" s="6">
        <v>43601.7383101852</v>
      </c>
      <c r="G2" s="3" t="s">
        <v>258</v>
      </c>
      <c r="H2" s="3" t="s">
        <v>259</v>
      </c>
      <c r="I2" s="3" t="s">
        <v>260</v>
      </c>
      <c r="J2" s="2"/>
      <c r="K2" s="7"/>
      <c r="L2" s="2" t="str">
        <f t="shared" ref="L2:L65" si="0">IF(K2="","",IF(MOD(F2,1)&lt;K2,"术前","术后"))</f>
        <v/>
      </c>
      <c r="M2" s="8" t="s">
        <v>261</v>
      </c>
      <c r="N2" s="8"/>
    </row>
    <row r="3" ht="55.5" customHeight="1" spans="1:14">
      <c r="A3" s="2">
        <v>2</v>
      </c>
      <c r="B3" s="3" t="s">
        <v>255</v>
      </c>
      <c r="C3" s="2">
        <v>313858</v>
      </c>
      <c r="D3" s="2" t="s">
        <v>57</v>
      </c>
      <c r="E3" s="3" t="s">
        <v>262</v>
      </c>
      <c r="F3" s="6">
        <v>42923.6493518519</v>
      </c>
      <c r="G3" s="3" t="s">
        <v>263</v>
      </c>
      <c r="H3" s="3" t="s">
        <v>264</v>
      </c>
      <c r="I3" s="3" t="s">
        <v>265</v>
      </c>
      <c r="J3" s="2"/>
      <c r="K3" s="7"/>
      <c r="L3" s="2" t="str">
        <f t="shared" si="0"/>
        <v/>
      </c>
      <c r="M3" s="8" t="s">
        <v>261</v>
      </c>
      <c r="N3" s="8"/>
    </row>
    <row r="4" ht="94.5" customHeight="1" spans="1:14">
      <c r="A4" s="2">
        <v>3</v>
      </c>
      <c r="B4" s="3" t="s">
        <v>255</v>
      </c>
      <c r="C4" s="2">
        <v>313858</v>
      </c>
      <c r="D4" s="2" t="s">
        <v>57</v>
      </c>
      <c r="E4" s="2" t="s">
        <v>257</v>
      </c>
      <c r="F4" s="6">
        <v>42923.6969097222</v>
      </c>
      <c r="G4" s="3" t="s">
        <v>266</v>
      </c>
      <c r="H4" s="3" t="s">
        <v>267</v>
      </c>
      <c r="I4" s="3" t="s">
        <v>268</v>
      </c>
      <c r="J4" s="2"/>
      <c r="K4" s="7"/>
      <c r="L4" s="2" t="str">
        <f t="shared" si="0"/>
        <v/>
      </c>
      <c r="M4" s="8" t="s">
        <v>261</v>
      </c>
      <c r="N4" s="8"/>
    </row>
    <row r="5" ht="120.75" customHeight="1" spans="1:14">
      <c r="A5" s="2">
        <v>4</v>
      </c>
      <c r="B5" s="3" t="s">
        <v>255</v>
      </c>
      <c r="C5" s="2">
        <v>414945</v>
      </c>
      <c r="D5" s="2" t="s">
        <v>269</v>
      </c>
      <c r="E5" s="2" t="s">
        <v>257</v>
      </c>
      <c r="F5" s="6">
        <v>42236.2283101852</v>
      </c>
      <c r="G5" s="3" t="s">
        <v>266</v>
      </c>
      <c r="H5" s="3" t="s">
        <v>270</v>
      </c>
      <c r="I5" s="3" t="s">
        <v>271</v>
      </c>
      <c r="J5" s="2"/>
      <c r="K5" s="7"/>
      <c r="L5" s="2" t="str">
        <f t="shared" si="0"/>
        <v/>
      </c>
      <c r="M5" s="8" t="s">
        <v>261</v>
      </c>
      <c r="N5" s="8"/>
    </row>
    <row r="6" ht="81.75" customHeight="1" spans="1:14">
      <c r="A6" s="2">
        <v>5</v>
      </c>
      <c r="B6" s="3" t="s">
        <v>255</v>
      </c>
      <c r="C6" s="2">
        <v>414945</v>
      </c>
      <c r="D6" s="2" t="s">
        <v>269</v>
      </c>
      <c r="E6" s="3" t="s">
        <v>272</v>
      </c>
      <c r="F6" s="6">
        <v>42236.4155439815</v>
      </c>
      <c r="G6" s="2" t="s">
        <v>273</v>
      </c>
      <c r="H6" s="3" t="s">
        <v>274</v>
      </c>
      <c r="I6" s="3" t="s">
        <v>275</v>
      </c>
      <c r="J6" s="2"/>
      <c r="K6" s="7"/>
      <c r="L6" s="2" t="str">
        <f t="shared" si="0"/>
        <v/>
      </c>
      <c r="M6" s="8" t="s">
        <v>261</v>
      </c>
      <c r="N6" s="8"/>
    </row>
    <row r="7" ht="108" customHeight="1" spans="1:14">
      <c r="A7" s="2">
        <v>6</v>
      </c>
      <c r="B7" s="3" t="s">
        <v>255</v>
      </c>
      <c r="C7" s="2">
        <v>432618</v>
      </c>
      <c r="D7" s="2" t="s">
        <v>276</v>
      </c>
      <c r="E7" s="3" t="s">
        <v>272</v>
      </c>
      <c r="F7" s="6">
        <v>42249.3971412037</v>
      </c>
      <c r="G7" s="2" t="s">
        <v>273</v>
      </c>
      <c r="H7" s="3" t="s">
        <v>277</v>
      </c>
      <c r="I7" s="3" t="s">
        <v>278</v>
      </c>
      <c r="J7" s="2"/>
      <c r="K7" s="7"/>
      <c r="L7" s="2" t="str">
        <f t="shared" si="0"/>
        <v/>
      </c>
      <c r="M7" s="8" t="s">
        <v>261</v>
      </c>
      <c r="N7" s="8"/>
    </row>
    <row r="8" ht="69" customHeight="1" spans="1:14">
      <c r="A8" s="2">
        <v>7</v>
      </c>
      <c r="B8" s="3" t="s">
        <v>255</v>
      </c>
      <c r="C8" s="2">
        <v>553279</v>
      </c>
      <c r="D8" s="2" t="s">
        <v>85</v>
      </c>
      <c r="E8" s="2" t="s">
        <v>257</v>
      </c>
      <c r="F8" s="6">
        <v>43273.0438078704</v>
      </c>
      <c r="G8" s="3" t="s">
        <v>258</v>
      </c>
      <c r="H8" s="3" t="s">
        <v>279</v>
      </c>
      <c r="I8" s="3" t="s">
        <v>280</v>
      </c>
      <c r="J8" s="2"/>
      <c r="K8" s="7"/>
      <c r="L8" s="2" t="str">
        <f t="shared" si="0"/>
        <v/>
      </c>
      <c r="M8" s="8" t="s">
        <v>261</v>
      </c>
      <c r="N8" s="8"/>
    </row>
    <row r="9" ht="94.5" customHeight="1" spans="1:14">
      <c r="A9" s="2">
        <v>8</v>
      </c>
      <c r="B9" s="3" t="s">
        <v>255</v>
      </c>
      <c r="C9" s="2">
        <v>876075</v>
      </c>
      <c r="D9" s="2" t="s">
        <v>281</v>
      </c>
      <c r="E9" s="3" t="s">
        <v>272</v>
      </c>
      <c r="F9" s="6">
        <v>42965.3815740741</v>
      </c>
      <c r="G9" s="2" t="s">
        <v>273</v>
      </c>
      <c r="H9" s="3" t="s">
        <v>282</v>
      </c>
      <c r="I9" s="3" t="s">
        <v>283</v>
      </c>
      <c r="J9" s="2"/>
      <c r="K9" s="7"/>
      <c r="L9" s="2" t="str">
        <f t="shared" si="0"/>
        <v/>
      </c>
      <c r="M9" s="8" t="s">
        <v>261</v>
      </c>
      <c r="N9" s="8"/>
    </row>
    <row r="10" ht="94.5" customHeight="1" spans="1:14">
      <c r="A10" s="2">
        <v>9</v>
      </c>
      <c r="B10" s="3" t="s">
        <v>255</v>
      </c>
      <c r="C10" s="2">
        <v>1150312</v>
      </c>
      <c r="D10" s="2" t="s">
        <v>284</v>
      </c>
      <c r="E10" s="3" t="s">
        <v>272</v>
      </c>
      <c r="F10" s="6">
        <v>41558.3806481482</v>
      </c>
      <c r="G10" s="2" t="s">
        <v>273</v>
      </c>
      <c r="H10" s="3" t="s">
        <v>285</v>
      </c>
      <c r="I10" s="3" t="s">
        <v>286</v>
      </c>
      <c r="J10" s="2"/>
      <c r="K10" s="7"/>
      <c r="L10" s="2" t="str">
        <f t="shared" si="0"/>
        <v/>
      </c>
      <c r="M10" s="8" t="s">
        <v>261</v>
      </c>
      <c r="N10" s="8"/>
    </row>
    <row r="11" ht="120.75" customHeight="1" spans="1:14">
      <c r="A11" s="2">
        <v>10</v>
      </c>
      <c r="B11" s="3" t="s">
        <v>255</v>
      </c>
      <c r="C11" s="2">
        <v>1187715</v>
      </c>
      <c r="D11" s="2" t="s">
        <v>287</v>
      </c>
      <c r="E11" s="2" t="s">
        <v>257</v>
      </c>
      <c r="F11" s="6">
        <v>42096.2075</v>
      </c>
      <c r="G11" s="3" t="s">
        <v>288</v>
      </c>
      <c r="H11" s="3" t="s">
        <v>289</v>
      </c>
      <c r="I11" s="3" t="s">
        <v>290</v>
      </c>
      <c r="J11" s="2"/>
      <c r="K11" s="7"/>
      <c r="L11" s="2" t="str">
        <f t="shared" si="0"/>
        <v/>
      </c>
      <c r="M11" s="8" t="s">
        <v>261</v>
      </c>
      <c r="N11" s="8"/>
    </row>
    <row r="12" ht="120.75" customHeight="1" spans="1:14">
      <c r="A12" s="2">
        <v>11</v>
      </c>
      <c r="B12" s="3" t="s">
        <v>255</v>
      </c>
      <c r="C12" s="2">
        <v>1187715</v>
      </c>
      <c r="D12" s="2" t="s">
        <v>287</v>
      </c>
      <c r="E12" s="2" t="s">
        <v>257</v>
      </c>
      <c r="F12" s="6">
        <v>42096.2075</v>
      </c>
      <c r="G12" s="3" t="s">
        <v>291</v>
      </c>
      <c r="H12" s="3" t="s">
        <v>289</v>
      </c>
      <c r="I12" s="3" t="s">
        <v>290</v>
      </c>
      <c r="J12" s="2"/>
      <c r="K12" s="7"/>
      <c r="L12" s="2" t="str">
        <f t="shared" si="0"/>
        <v/>
      </c>
      <c r="M12" s="8" t="s">
        <v>261</v>
      </c>
      <c r="N12" s="8"/>
    </row>
    <row r="13" ht="81.75" customHeight="1" spans="1:14">
      <c r="A13" s="2">
        <v>12</v>
      </c>
      <c r="B13" s="3" t="s">
        <v>255</v>
      </c>
      <c r="C13" s="2">
        <v>1222799</v>
      </c>
      <c r="D13" s="2" t="s">
        <v>292</v>
      </c>
      <c r="E13" s="3" t="s">
        <v>272</v>
      </c>
      <c r="F13" s="6">
        <v>41352.4169907407</v>
      </c>
      <c r="G13" s="2" t="s">
        <v>273</v>
      </c>
      <c r="H13" s="3" t="s">
        <v>293</v>
      </c>
      <c r="I13" s="3" t="s">
        <v>294</v>
      </c>
      <c r="J13" s="2"/>
      <c r="K13" s="7"/>
      <c r="L13" s="2" t="str">
        <f t="shared" si="0"/>
        <v/>
      </c>
      <c r="M13" s="8" t="s">
        <v>261</v>
      </c>
      <c r="N13" s="8"/>
    </row>
    <row r="14" ht="69" customHeight="1" spans="1:14">
      <c r="A14" s="2">
        <v>13</v>
      </c>
      <c r="B14" s="3" t="s">
        <v>255</v>
      </c>
      <c r="C14" s="2">
        <v>1253367</v>
      </c>
      <c r="D14" s="2" t="s">
        <v>295</v>
      </c>
      <c r="E14" s="2" t="s">
        <v>257</v>
      </c>
      <c r="F14" s="6">
        <v>41585.5592592593</v>
      </c>
      <c r="G14" s="3" t="s">
        <v>266</v>
      </c>
      <c r="H14" s="3" t="s">
        <v>296</v>
      </c>
      <c r="I14" s="3" t="s">
        <v>297</v>
      </c>
      <c r="J14" s="2"/>
      <c r="K14" s="7"/>
      <c r="L14" s="2" t="str">
        <f t="shared" si="0"/>
        <v/>
      </c>
      <c r="M14" s="8" t="s">
        <v>261</v>
      </c>
      <c r="N14" s="8"/>
    </row>
    <row r="15" ht="69" customHeight="1" spans="1:14">
      <c r="A15" s="2">
        <v>14</v>
      </c>
      <c r="B15" s="3" t="s">
        <v>255</v>
      </c>
      <c r="C15" s="2">
        <v>1405773</v>
      </c>
      <c r="D15" s="2" t="s">
        <v>298</v>
      </c>
      <c r="E15" s="2" t="s">
        <v>257</v>
      </c>
      <c r="F15" s="6">
        <v>43602.1056134259</v>
      </c>
      <c r="G15" s="3" t="s">
        <v>258</v>
      </c>
      <c r="H15" s="3" t="s">
        <v>299</v>
      </c>
      <c r="I15" s="3" t="s">
        <v>300</v>
      </c>
      <c r="J15" s="2"/>
      <c r="K15" s="7"/>
      <c r="L15" s="2" t="str">
        <f t="shared" si="0"/>
        <v/>
      </c>
      <c r="M15" s="8" t="s">
        <v>261</v>
      </c>
      <c r="N15" s="8"/>
    </row>
    <row r="16" ht="108" customHeight="1" spans="1:14">
      <c r="A16" s="2">
        <v>15</v>
      </c>
      <c r="B16" s="3" t="s">
        <v>255</v>
      </c>
      <c r="C16" s="2">
        <v>1426267</v>
      </c>
      <c r="D16" s="2" t="s">
        <v>301</v>
      </c>
      <c r="E16" s="3" t="s">
        <v>272</v>
      </c>
      <c r="F16" s="6">
        <v>43962.4255902778</v>
      </c>
      <c r="G16" s="3" t="s">
        <v>302</v>
      </c>
      <c r="H16" s="3" t="s">
        <v>303</v>
      </c>
      <c r="I16" s="3" t="s">
        <v>304</v>
      </c>
      <c r="J16" s="9" t="s">
        <v>305</v>
      </c>
      <c r="K16" s="7"/>
      <c r="L16" s="2" t="str">
        <f t="shared" si="0"/>
        <v/>
      </c>
      <c r="M16" s="8" t="s">
        <v>306</v>
      </c>
      <c r="N16" s="8"/>
    </row>
    <row r="17" ht="108" customHeight="1" spans="1:14">
      <c r="A17" s="2">
        <v>16</v>
      </c>
      <c r="B17" s="3" t="s">
        <v>255</v>
      </c>
      <c r="C17" s="2">
        <v>1480037</v>
      </c>
      <c r="D17" s="2" t="s">
        <v>307</v>
      </c>
      <c r="E17" s="3" t="s">
        <v>272</v>
      </c>
      <c r="F17" s="6">
        <v>44266.3720717593</v>
      </c>
      <c r="G17" s="3" t="s">
        <v>308</v>
      </c>
      <c r="H17" s="3" t="s">
        <v>309</v>
      </c>
      <c r="I17" s="3" t="s">
        <v>310</v>
      </c>
      <c r="J17" s="2"/>
      <c r="K17" s="7"/>
      <c r="L17" s="2" t="str">
        <f t="shared" si="0"/>
        <v/>
      </c>
      <c r="M17" s="8" t="s">
        <v>261</v>
      </c>
      <c r="N17" s="8"/>
    </row>
    <row r="18" ht="120.75" customHeight="1" spans="1:14">
      <c r="A18" s="2">
        <v>17</v>
      </c>
      <c r="B18" s="3" t="s">
        <v>255</v>
      </c>
      <c r="C18" s="2">
        <v>1485806</v>
      </c>
      <c r="D18" s="2" t="s">
        <v>311</v>
      </c>
      <c r="E18" s="3" t="s">
        <v>272</v>
      </c>
      <c r="F18" s="6">
        <v>43967.3819560185</v>
      </c>
      <c r="G18" s="3" t="s">
        <v>302</v>
      </c>
      <c r="H18" s="3" t="s">
        <v>312</v>
      </c>
      <c r="I18" s="3" t="s">
        <v>313</v>
      </c>
      <c r="J18" s="2"/>
      <c r="K18" s="7"/>
      <c r="L18" s="2" t="str">
        <f t="shared" si="0"/>
        <v/>
      </c>
      <c r="M18" s="8" t="s">
        <v>261</v>
      </c>
      <c r="N18" s="8"/>
    </row>
    <row r="19" ht="81.75" customHeight="1" spans="1:14">
      <c r="A19" s="2">
        <v>18</v>
      </c>
      <c r="B19" s="3" t="s">
        <v>255</v>
      </c>
      <c r="C19" s="2">
        <v>1491490</v>
      </c>
      <c r="D19" s="2" t="s">
        <v>314</v>
      </c>
      <c r="E19" s="3" t="s">
        <v>272</v>
      </c>
      <c r="F19" s="6">
        <v>41312.4003935185</v>
      </c>
      <c r="G19" s="2" t="s">
        <v>273</v>
      </c>
      <c r="H19" s="3" t="s">
        <v>315</v>
      </c>
      <c r="I19" s="3" t="s">
        <v>316</v>
      </c>
      <c r="J19" s="2"/>
      <c r="K19" s="7"/>
      <c r="L19" s="2" t="str">
        <f t="shared" si="0"/>
        <v/>
      </c>
      <c r="M19" s="8" t="s">
        <v>261</v>
      </c>
      <c r="N19" s="8"/>
    </row>
    <row r="20" ht="81.75" customHeight="1" spans="1:14">
      <c r="A20" s="2">
        <v>19</v>
      </c>
      <c r="B20" s="3" t="s">
        <v>255</v>
      </c>
      <c r="C20" s="2">
        <v>1514720</v>
      </c>
      <c r="D20" s="2" t="s">
        <v>90</v>
      </c>
      <c r="E20" s="2" t="s">
        <v>257</v>
      </c>
      <c r="F20" s="6">
        <v>43310.0236226852</v>
      </c>
      <c r="G20" s="3" t="s">
        <v>258</v>
      </c>
      <c r="H20" s="3" t="s">
        <v>317</v>
      </c>
      <c r="I20" s="3" t="s">
        <v>318</v>
      </c>
      <c r="J20" s="2"/>
      <c r="K20" s="7"/>
      <c r="L20" s="2" t="str">
        <f t="shared" si="0"/>
        <v/>
      </c>
      <c r="M20" s="8" t="s">
        <v>261</v>
      </c>
      <c r="N20" s="8"/>
    </row>
    <row r="21" ht="108" customHeight="1" spans="1:14">
      <c r="A21" s="2">
        <v>20</v>
      </c>
      <c r="B21" s="3" t="s">
        <v>255</v>
      </c>
      <c r="C21" s="2">
        <v>1547144</v>
      </c>
      <c r="D21" s="2" t="s">
        <v>319</v>
      </c>
      <c r="E21" s="3" t="s">
        <v>262</v>
      </c>
      <c r="F21" s="6">
        <v>43947.0987384259</v>
      </c>
      <c r="G21" s="3" t="s">
        <v>320</v>
      </c>
      <c r="H21" s="3" t="s">
        <v>321</v>
      </c>
      <c r="I21" s="3" t="s">
        <v>322</v>
      </c>
      <c r="J21" s="2"/>
      <c r="K21" s="7"/>
      <c r="L21" s="2" t="str">
        <f t="shared" si="0"/>
        <v/>
      </c>
      <c r="M21" s="8" t="s">
        <v>261</v>
      </c>
      <c r="N21" s="8"/>
    </row>
    <row r="22" ht="108" customHeight="1" spans="1:14">
      <c r="A22" s="2">
        <v>21</v>
      </c>
      <c r="B22" s="3" t="s">
        <v>255</v>
      </c>
      <c r="C22" s="2">
        <v>1632364</v>
      </c>
      <c r="D22" s="2" t="s">
        <v>323</v>
      </c>
      <c r="E22" s="2" t="s">
        <v>257</v>
      </c>
      <c r="F22" s="6">
        <v>42843.7248726852</v>
      </c>
      <c r="G22" s="3" t="s">
        <v>266</v>
      </c>
      <c r="H22" s="3" t="s">
        <v>324</v>
      </c>
      <c r="I22" s="3" t="s">
        <v>325</v>
      </c>
      <c r="J22" s="2"/>
      <c r="K22" s="7"/>
      <c r="L22" s="2" t="str">
        <f t="shared" si="0"/>
        <v/>
      </c>
      <c r="M22" s="8" t="s">
        <v>261</v>
      </c>
      <c r="N22" s="8"/>
    </row>
    <row r="23" ht="108" customHeight="1" spans="1:14">
      <c r="A23" s="2">
        <v>22</v>
      </c>
      <c r="B23" s="3" t="s">
        <v>255</v>
      </c>
      <c r="C23" s="2">
        <v>1799490</v>
      </c>
      <c r="D23" s="2" t="s">
        <v>326</v>
      </c>
      <c r="E23" s="3" t="s">
        <v>272</v>
      </c>
      <c r="F23" s="6">
        <v>42964.4586921296</v>
      </c>
      <c r="G23" s="2" t="s">
        <v>273</v>
      </c>
      <c r="H23" s="3" t="s">
        <v>327</v>
      </c>
      <c r="I23" s="3" t="s">
        <v>283</v>
      </c>
      <c r="J23" s="2"/>
      <c r="K23" s="7"/>
      <c r="L23" s="2" t="str">
        <f t="shared" si="0"/>
        <v/>
      </c>
      <c r="M23" s="8" t="s">
        <v>261</v>
      </c>
      <c r="N23" s="8"/>
    </row>
    <row r="24" ht="42.75" customHeight="1" spans="1:14">
      <c r="A24" s="2">
        <v>23</v>
      </c>
      <c r="B24" s="3" t="s">
        <v>255</v>
      </c>
      <c r="C24" s="2">
        <v>1862817</v>
      </c>
      <c r="D24" s="2" t="s">
        <v>328</v>
      </c>
      <c r="E24" s="3" t="s">
        <v>262</v>
      </c>
      <c r="F24" s="6">
        <v>43556.7563773148</v>
      </c>
      <c r="G24" s="3" t="s">
        <v>329</v>
      </c>
      <c r="H24" s="3" t="s">
        <v>330</v>
      </c>
      <c r="I24" s="3" t="s">
        <v>331</v>
      </c>
      <c r="J24" s="2"/>
      <c r="K24" s="7"/>
      <c r="L24" s="2" t="str">
        <f t="shared" si="0"/>
        <v/>
      </c>
      <c r="M24" s="8" t="s">
        <v>261</v>
      </c>
      <c r="N24" s="8"/>
    </row>
    <row r="25" ht="94.5" customHeight="1" spans="1:14">
      <c r="A25" s="2">
        <v>24</v>
      </c>
      <c r="B25" s="3" t="s">
        <v>255</v>
      </c>
      <c r="C25" s="2">
        <v>1932468</v>
      </c>
      <c r="D25" s="2" t="s">
        <v>332</v>
      </c>
      <c r="E25" s="3" t="s">
        <v>272</v>
      </c>
      <c r="F25" s="6">
        <v>42003.4055671296</v>
      </c>
      <c r="G25" s="2" t="s">
        <v>273</v>
      </c>
      <c r="H25" s="3" t="s">
        <v>333</v>
      </c>
      <c r="I25" s="3" t="s">
        <v>334</v>
      </c>
      <c r="J25" s="2"/>
      <c r="K25" s="7"/>
      <c r="L25" s="2" t="str">
        <f t="shared" si="0"/>
        <v/>
      </c>
      <c r="M25" s="8" t="s">
        <v>261</v>
      </c>
      <c r="N25" s="8"/>
    </row>
    <row r="26" ht="81.75" customHeight="1" spans="1:14">
      <c r="A26" s="2">
        <v>25</v>
      </c>
      <c r="B26" s="3" t="s">
        <v>255</v>
      </c>
      <c r="C26" s="2">
        <v>1994972</v>
      </c>
      <c r="D26" s="2" t="s">
        <v>335</v>
      </c>
      <c r="E26" s="3" t="s">
        <v>272</v>
      </c>
      <c r="F26" s="6">
        <v>42053.3656481481</v>
      </c>
      <c r="G26" s="2" t="s">
        <v>273</v>
      </c>
      <c r="H26" s="3" t="s">
        <v>336</v>
      </c>
      <c r="I26" s="3" t="s">
        <v>337</v>
      </c>
      <c r="J26" s="2"/>
      <c r="K26" s="7"/>
      <c r="L26" s="2" t="str">
        <f t="shared" si="0"/>
        <v/>
      </c>
      <c r="M26" s="8" t="s">
        <v>261</v>
      </c>
      <c r="N26" s="8"/>
    </row>
    <row r="27" ht="159.75" customHeight="1" spans="1:14">
      <c r="A27" s="2">
        <v>26</v>
      </c>
      <c r="B27" s="3" t="s">
        <v>255</v>
      </c>
      <c r="C27" s="2">
        <v>2193315</v>
      </c>
      <c r="D27" s="2" t="s">
        <v>338</v>
      </c>
      <c r="E27" s="2" t="s">
        <v>257</v>
      </c>
      <c r="F27" s="6">
        <v>43133.0155092593</v>
      </c>
      <c r="G27" s="3" t="s">
        <v>258</v>
      </c>
      <c r="H27" s="3" t="s">
        <v>339</v>
      </c>
      <c r="I27" s="3" t="s">
        <v>340</v>
      </c>
      <c r="J27" s="2"/>
      <c r="K27" s="7"/>
      <c r="L27" s="2" t="str">
        <f t="shared" si="0"/>
        <v/>
      </c>
      <c r="M27" s="8" t="s">
        <v>261</v>
      </c>
      <c r="N27" s="8"/>
    </row>
    <row r="28" ht="147" customHeight="1" spans="1:14">
      <c r="A28" s="2">
        <v>27</v>
      </c>
      <c r="B28" s="3" t="s">
        <v>255</v>
      </c>
      <c r="C28" s="2">
        <v>2193315</v>
      </c>
      <c r="D28" s="2" t="s">
        <v>338</v>
      </c>
      <c r="E28" s="3" t="s">
        <v>272</v>
      </c>
      <c r="F28" s="6">
        <v>43133.4024768519</v>
      </c>
      <c r="G28" s="3" t="s">
        <v>302</v>
      </c>
      <c r="H28" s="3" t="s">
        <v>341</v>
      </c>
      <c r="I28" s="3" t="s">
        <v>342</v>
      </c>
      <c r="J28" s="2"/>
      <c r="K28" s="7"/>
      <c r="L28" s="2" t="str">
        <f t="shared" si="0"/>
        <v/>
      </c>
      <c r="M28" s="8" t="s">
        <v>261</v>
      </c>
      <c r="N28" s="8"/>
    </row>
    <row r="29" ht="81.75" customHeight="1" spans="1:14">
      <c r="A29" s="2">
        <v>28</v>
      </c>
      <c r="B29" s="3" t="s">
        <v>255</v>
      </c>
      <c r="C29" s="2">
        <v>2244500</v>
      </c>
      <c r="D29" s="2" t="s">
        <v>343</v>
      </c>
      <c r="E29" s="2" t="s">
        <v>257</v>
      </c>
      <c r="F29" s="6">
        <v>43462.6864699074</v>
      </c>
      <c r="G29" s="3" t="s">
        <v>344</v>
      </c>
      <c r="H29" s="3" t="s">
        <v>345</v>
      </c>
      <c r="I29" s="3" t="s">
        <v>346</v>
      </c>
      <c r="J29" s="2"/>
      <c r="K29" s="7"/>
      <c r="L29" s="2" t="str">
        <f t="shared" si="0"/>
        <v/>
      </c>
      <c r="M29" s="8" t="s">
        <v>261</v>
      </c>
      <c r="N29" s="8"/>
    </row>
    <row r="30" ht="108" customHeight="1" spans="1:14">
      <c r="A30" s="2">
        <v>29</v>
      </c>
      <c r="B30" s="3" t="s">
        <v>255</v>
      </c>
      <c r="C30" s="2">
        <v>2247151</v>
      </c>
      <c r="D30" s="2" t="s">
        <v>347</v>
      </c>
      <c r="E30" s="3" t="s">
        <v>272</v>
      </c>
      <c r="F30" s="6">
        <v>43008.393275463</v>
      </c>
      <c r="G30" s="3" t="s">
        <v>308</v>
      </c>
      <c r="H30" s="3" t="s">
        <v>348</v>
      </c>
      <c r="I30" s="3" t="s">
        <v>286</v>
      </c>
      <c r="J30" s="2"/>
      <c r="K30" s="7"/>
      <c r="L30" s="2" t="str">
        <f t="shared" si="0"/>
        <v/>
      </c>
      <c r="M30" s="8" t="s">
        <v>261</v>
      </c>
      <c r="N30" s="8"/>
    </row>
    <row r="31" ht="133.5" customHeight="1" spans="1:14">
      <c r="A31" s="2">
        <v>30</v>
      </c>
      <c r="B31" s="3" t="s">
        <v>255</v>
      </c>
      <c r="C31" s="2">
        <v>2247151</v>
      </c>
      <c r="D31" s="2" t="s">
        <v>347</v>
      </c>
      <c r="E31" s="3" t="s">
        <v>262</v>
      </c>
      <c r="F31" s="6">
        <v>43008.7077199074</v>
      </c>
      <c r="G31" s="3" t="s">
        <v>349</v>
      </c>
      <c r="H31" s="3" t="s">
        <v>350</v>
      </c>
      <c r="I31" s="3" t="s">
        <v>351</v>
      </c>
      <c r="J31" s="2"/>
      <c r="K31" s="7"/>
      <c r="L31" s="2" t="str">
        <f t="shared" si="0"/>
        <v/>
      </c>
      <c r="M31" s="8" t="s">
        <v>261</v>
      </c>
      <c r="N31" s="8"/>
    </row>
    <row r="32" ht="94.5" customHeight="1" spans="1:14">
      <c r="A32" s="2">
        <v>31</v>
      </c>
      <c r="B32" s="3" t="s">
        <v>255</v>
      </c>
      <c r="C32" s="2">
        <v>2268960</v>
      </c>
      <c r="D32" s="2" t="s">
        <v>352</v>
      </c>
      <c r="E32" s="2" t="s">
        <v>257</v>
      </c>
      <c r="F32" s="6">
        <v>43437.1799652778</v>
      </c>
      <c r="G32" s="3" t="s">
        <v>258</v>
      </c>
      <c r="H32" s="3" t="s">
        <v>353</v>
      </c>
      <c r="I32" s="3" t="s">
        <v>354</v>
      </c>
      <c r="J32" s="2"/>
      <c r="K32" s="7"/>
      <c r="L32" s="2" t="str">
        <f t="shared" si="0"/>
        <v/>
      </c>
      <c r="M32" s="8" t="s">
        <v>261</v>
      </c>
      <c r="N32" s="8"/>
    </row>
    <row r="33" ht="81.75" customHeight="1" spans="1:14">
      <c r="A33" s="2">
        <v>32</v>
      </c>
      <c r="B33" s="3" t="s">
        <v>255</v>
      </c>
      <c r="C33" s="2">
        <v>2299570</v>
      </c>
      <c r="D33" s="2" t="s">
        <v>355</v>
      </c>
      <c r="E33" s="3" t="s">
        <v>272</v>
      </c>
      <c r="F33" s="6">
        <v>42423.3719907407</v>
      </c>
      <c r="G33" s="2" t="s">
        <v>273</v>
      </c>
      <c r="H33" s="3" t="s">
        <v>356</v>
      </c>
      <c r="I33" s="3" t="s">
        <v>357</v>
      </c>
      <c r="J33" s="2"/>
      <c r="K33" s="7"/>
      <c r="L33" s="2" t="str">
        <f t="shared" si="0"/>
        <v/>
      </c>
      <c r="M33" s="8" t="s">
        <v>261</v>
      </c>
      <c r="N33" s="8"/>
    </row>
    <row r="34" ht="69" customHeight="1" spans="1:14">
      <c r="A34" s="2">
        <v>33</v>
      </c>
      <c r="B34" s="3" t="s">
        <v>255</v>
      </c>
      <c r="C34" s="2">
        <v>2368339</v>
      </c>
      <c r="D34" s="2" t="s">
        <v>358</v>
      </c>
      <c r="E34" s="2" t="s">
        <v>257</v>
      </c>
      <c r="F34" s="6">
        <v>43004.0591087963</v>
      </c>
      <c r="G34" s="3" t="s">
        <v>258</v>
      </c>
      <c r="H34" s="3" t="s">
        <v>359</v>
      </c>
      <c r="I34" s="3" t="s">
        <v>360</v>
      </c>
      <c r="J34" s="2"/>
      <c r="K34" s="7"/>
      <c r="L34" s="2" t="str">
        <f t="shared" si="0"/>
        <v/>
      </c>
      <c r="M34" s="8" t="s">
        <v>261</v>
      </c>
      <c r="N34" s="8"/>
    </row>
    <row r="35" ht="108" customHeight="1" spans="1:14">
      <c r="A35" s="2">
        <v>34</v>
      </c>
      <c r="B35" s="3" t="s">
        <v>255</v>
      </c>
      <c r="C35" s="2">
        <v>2368339</v>
      </c>
      <c r="D35" s="2" t="s">
        <v>358</v>
      </c>
      <c r="E35" s="3" t="s">
        <v>262</v>
      </c>
      <c r="F35" s="6">
        <v>43004.0712268519</v>
      </c>
      <c r="G35" s="3" t="s">
        <v>361</v>
      </c>
      <c r="H35" s="3" t="s">
        <v>362</v>
      </c>
      <c r="I35" s="3" t="s">
        <v>363</v>
      </c>
      <c r="J35" s="2"/>
      <c r="K35" s="7"/>
      <c r="L35" s="2" t="str">
        <f t="shared" si="0"/>
        <v/>
      </c>
      <c r="M35" s="8" t="s">
        <v>261</v>
      </c>
      <c r="N35" s="8"/>
    </row>
    <row r="36" ht="120.75" customHeight="1" spans="1:14">
      <c r="A36" s="2">
        <v>35</v>
      </c>
      <c r="B36" s="3" t="s">
        <v>255</v>
      </c>
      <c r="C36" s="2">
        <v>2368339</v>
      </c>
      <c r="D36" s="2" t="s">
        <v>358</v>
      </c>
      <c r="E36" s="3" t="s">
        <v>272</v>
      </c>
      <c r="F36" s="6">
        <v>43004.4270138889</v>
      </c>
      <c r="G36" s="3" t="s">
        <v>308</v>
      </c>
      <c r="H36" s="3" t="s">
        <v>364</v>
      </c>
      <c r="I36" s="3" t="s">
        <v>365</v>
      </c>
      <c r="J36" s="2"/>
      <c r="K36" s="7"/>
      <c r="L36" s="2" t="str">
        <f t="shared" si="0"/>
        <v/>
      </c>
      <c r="M36" s="8" t="s">
        <v>261</v>
      </c>
      <c r="N36" s="8"/>
    </row>
    <row r="37" ht="120.75" customHeight="1" spans="1:14">
      <c r="A37" s="2">
        <v>36</v>
      </c>
      <c r="B37" s="3" t="s">
        <v>255</v>
      </c>
      <c r="C37" s="2">
        <v>2385429</v>
      </c>
      <c r="D37" s="2" t="s">
        <v>107</v>
      </c>
      <c r="E37" s="3" t="s">
        <v>262</v>
      </c>
      <c r="F37" s="6">
        <v>43095.686099537</v>
      </c>
      <c r="G37" s="3" t="s">
        <v>349</v>
      </c>
      <c r="H37" s="3" t="s">
        <v>366</v>
      </c>
      <c r="I37" s="3" t="s">
        <v>367</v>
      </c>
      <c r="J37" s="2"/>
      <c r="K37" s="7"/>
      <c r="L37" s="2" t="str">
        <f t="shared" si="0"/>
        <v/>
      </c>
      <c r="M37" s="8" t="s">
        <v>261</v>
      </c>
      <c r="N37" s="8"/>
    </row>
    <row r="38" ht="120.75" customHeight="1" spans="1:14">
      <c r="A38" s="2">
        <v>37</v>
      </c>
      <c r="B38" s="3" t="s">
        <v>255</v>
      </c>
      <c r="C38" s="2">
        <v>2385429</v>
      </c>
      <c r="D38" s="2" t="s">
        <v>107</v>
      </c>
      <c r="E38" s="2" t="s">
        <v>257</v>
      </c>
      <c r="F38" s="6">
        <v>43095.6979976852</v>
      </c>
      <c r="G38" s="3" t="s">
        <v>258</v>
      </c>
      <c r="H38" s="3" t="s">
        <v>368</v>
      </c>
      <c r="I38" s="3" t="s">
        <v>369</v>
      </c>
      <c r="J38" s="2"/>
      <c r="K38" s="7"/>
      <c r="L38" s="2" t="str">
        <f t="shared" si="0"/>
        <v/>
      </c>
      <c r="M38" s="8" t="s">
        <v>261</v>
      </c>
      <c r="N38" s="8"/>
    </row>
    <row r="39" ht="69" customHeight="1" spans="1:14">
      <c r="A39" s="2">
        <v>38</v>
      </c>
      <c r="B39" s="3" t="s">
        <v>255</v>
      </c>
      <c r="C39" s="2">
        <v>2414703</v>
      </c>
      <c r="D39" s="2" t="s">
        <v>370</v>
      </c>
      <c r="E39" s="2" t="s">
        <v>257</v>
      </c>
      <c r="F39" s="6">
        <v>43396.2533680556</v>
      </c>
      <c r="G39" s="3" t="s">
        <v>258</v>
      </c>
      <c r="H39" s="3" t="s">
        <v>371</v>
      </c>
      <c r="I39" s="3" t="s">
        <v>372</v>
      </c>
      <c r="J39" s="2"/>
      <c r="K39" s="7"/>
      <c r="L39" s="2" t="str">
        <f t="shared" si="0"/>
        <v/>
      </c>
      <c r="M39" s="8" t="s">
        <v>261</v>
      </c>
      <c r="N39" s="8"/>
    </row>
    <row r="40" ht="94.5" customHeight="1" spans="1:14">
      <c r="A40" s="2">
        <v>39</v>
      </c>
      <c r="B40" s="3" t="s">
        <v>255</v>
      </c>
      <c r="C40" s="2">
        <v>2665129</v>
      </c>
      <c r="D40" s="2" t="s">
        <v>373</v>
      </c>
      <c r="E40" s="2" t="s">
        <v>257</v>
      </c>
      <c r="F40" s="6">
        <v>42358.3864930556</v>
      </c>
      <c r="G40" s="3" t="s">
        <v>344</v>
      </c>
      <c r="H40" s="3" t="s">
        <v>374</v>
      </c>
      <c r="I40" s="3" t="s">
        <v>375</v>
      </c>
      <c r="J40" s="2"/>
      <c r="K40" s="7"/>
      <c r="L40" s="2" t="str">
        <f t="shared" si="0"/>
        <v/>
      </c>
      <c r="M40" s="8" t="s">
        <v>261</v>
      </c>
      <c r="N40" s="8"/>
    </row>
    <row r="41" ht="81.75" customHeight="1" spans="1:14">
      <c r="A41" s="2">
        <v>40</v>
      </c>
      <c r="B41" s="3" t="s">
        <v>255</v>
      </c>
      <c r="C41" s="2">
        <v>2711129</v>
      </c>
      <c r="D41" s="2" t="s">
        <v>376</v>
      </c>
      <c r="E41" s="2" t="s">
        <v>257</v>
      </c>
      <c r="F41" s="6">
        <v>43372.8241319444</v>
      </c>
      <c r="G41" s="3" t="s">
        <v>377</v>
      </c>
      <c r="H41" s="3" t="s">
        <v>378</v>
      </c>
      <c r="I41" s="3" t="s">
        <v>379</v>
      </c>
      <c r="J41" s="2"/>
      <c r="K41" s="7"/>
      <c r="L41" s="2" t="str">
        <f t="shared" si="0"/>
        <v/>
      </c>
      <c r="M41" s="8" t="s">
        <v>261</v>
      </c>
      <c r="N41" s="8"/>
    </row>
    <row r="42" ht="69" customHeight="1" spans="1:14">
      <c r="A42" s="2">
        <v>41</v>
      </c>
      <c r="B42" s="3" t="s">
        <v>255</v>
      </c>
      <c r="C42" s="2">
        <v>2745315</v>
      </c>
      <c r="D42" s="2" t="s">
        <v>380</v>
      </c>
      <c r="E42" s="3" t="s">
        <v>272</v>
      </c>
      <c r="F42" s="6">
        <v>43458.3735416667</v>
      </c>
      <c r="G42" s="3" t="s">
        <v>302</v>
      </c>
      <c r="H42" s="3" t="s">
        <v>381</v>
      </c>
      <c r="I42" s="2" t="s">
        <v>382</v>
      </c>
      <c r="J42" s="2"/>
      <c r="K42" s="7"/>
      <c r="L42" s="2" t="str">
        <f t="shared" si="0"/>
        <v/>
      </c>
      <c r="M42" s="8" t="s">
        <v>261</v>
      </c>
      <c r="N42" s="8"/>
    </row>
    <row r="43" ht="69" customHeight="1" spans="1:14">
      <c r="A43" s="2">
        <v>42</v>
      </c>
      <c r="B43" s="3" t="s">
        <v>255</v>
      </c>
      <c r="C43" s="2">
        <v>2747328</v>
      </c>
      <c r="D43" s="2" t="s">
        <v>117</v>
      </c>
      <c r="E43" s="2" t="s">
        <v>257</v>
      </c>
      <c r="F43" s="6">
        <v>41505.0398263889</v>
      </c>
      <c r="G43" s="3" t="s">
        <v>266</v>
      </c>
      <c r="H43" s="3" t="s">
        <v>383</v>
      </c>
      <c r="I43" s="3" t="s">
        <v>384</v>
      </c>
      <c r="J43" s="2"/>
      <c r="K43" s="7"/>
      <c r="L43" s="2" t="str">
        <f t="shared" si="0"/>
        <v/>
      </c>
      <c r="M43" s="8" t="s">
        <v>261</v>
      </c>
      <c r="N43" s="8"/>
    </row>
    <row r="44" ht="69" customHeight="1" spans="1:14">
      <c r="A44" s="2">
        <v>43</v>
      </c>
      <c r="B44" s="3" t="s">
        <v>255</v>
      </c>
      <c r="C44" s="2">
        <v>2837127</v>
      </c>
      <c r="D44" s="2" t="s">
        <v>385</v>
      </c>
      <c r="E44" s="2" t="s">
        <v>257</v>
      </c>
      <c r="F44" s="6">
        <v>41633.487650463</v>
      </c>
      <c r="G44" s="3" t="s">
        <v>377</v>
      </c>
      <c r="H44" s="3" t="s">
        <v>386</v>
      </c>
      <c r="I44" s="3" t="s">
        <v>387</v>
      </c>
      <c r="J44" s="2"/>
      <c r="K44" s="7"/>
      <c r="L44" s="2" t="str">
        <f t="shared" si="0"/>
        <v/>
      </c>
      <c r="M44" s="8" t="s">
        <v>261</v>
      </c>
      <c r="N44" s="8"/>
    </row>
    <row r="45" ht="120.75" customHeight="1" spans="1:14">
      <c r="A45" s="2">
        <v>44</v>
      </c>
      <c r="B45" s="3" t="s">
        <v>255</v>
      </c>
      <c r="C45" s="2">
        <v>2878364</v>
      </c>
      <c r="D45" s="2" t="s">
        <v>122</v>
      </c>
      <c r="E45" s="2" t="s">
        <v>257</v>
      </c>
      <c r="F45" s="6">
        <v>41685.7041435185</v>
      </c>
      <c r="G45" s="3" t="s">
        <v>377</v>
      </c>
      <c r="H45" s="3" t="s">
        <v>388</v>
      </c>
      <c r="I45" s="3" t="s">
        <v>389</v>
      </c>
      <c r="J45" s="2"/>
      <c r="K45" s="7"/>
      <c r="L45" s="2" t="str">
        <f t="shared" si="0"/>
        <v/>
      </c>
      <c r="M45" s="8" t="s">
        <v>261</v>
      </c>
      <c r="N45" s="8"/>
    </row>
    <row r="46" ht="108" customHeight="1" spans="1:14">
      <c r="A46" s="2">
        <v>45</v>
      </c>
      <c r="B46" s="3" t="s">
        <v>255</v>
      </c>
      <c r="C46" s="2">
        <v>2898461</v>
      </c>
      <c r="D46" s="2" t="s">
        <v>390</v>
      </c>
      <c r="E46" s="2" t="s">
        <v>257</v>
      </c>
      <c r="F46" s="6">
        <v>41550.0055439815</v>
      </c>
      <c r="G46" s="3" t="s">
        <v>377</v>
      </c>
      <c r="H46" s="3" t="s">
        <v>391</v>
      </c>
      <c r="I46" s="3" t="s">
        <v>392</v>
      </c>
      <c r="J46" s="2"/>
      <c r="K46" s="7"/>
      <c r="L46" s="2" t="str">
        <f t="shared" si="0"/>
        <v/>
      </c>
      <c r="M46" s="8" t="s">
        <v>261</v>
      </c>
      <c r="N46" s="8"/>
    </row>
    <row r="47" ht="94.5" customHeight="1" spans="1:14">
      <c r="A47" s="2">
        <v>46</v>
      </c>
      <c r="B47" s="3" t="s">
        <v>255</v>
      </c>
      <c r="C47" s="2">
        <v>2898461</v>
      </c>
      <c r="D47" s="2" t="s">
        <v>390</v>
      </c>
      <c r="E47" s="3" t="s">
        <v>272</v>
      </c>
      <c r="F47" s="6">
        <v>41550.3879861111</v>
      </c>
      <c r="G47" s="2" t="s">
        <v>273</v>
      </c>
      <c r="H47" s="3" t="s">
        <v>393</v>
      </c>
      <c r="I47" s="3" t="s">
        <v>283</v>
      </c>
      <c r="J47" s="2"/>
      <c r="K47" s="7"/>
      <c r="L47" s="2" t="str">
        <f t="shared" si="0"/>
        <v/>
      </c>
      <c r="M47" s="8" t="s">
        <v>261</v>
      </c>
      <c r="N47" s="8"/>
    </row>
    <row r="48" ht="94.5" customHeight="1" spans="1:14">
      <c r="A48" s="2">
        <v>47</v>
      </c>
      <c r="B48" s="3" t="s">
        <v>255</v>
      </c>
      <c r="C48" s="2">
        <v>3169973</v>
      </c>
      <c r="D48" s="2" t="s">
        <v>394</v>
      </c>
      <c r="E48" s="2" t="s">
        <v>257</v>
      </c>
      <c r="F48" s="6">
        <v>41914.4638194444</v>
      </c>
      <c r="G48" s="3" t="s">
        <v>266</v>
      </c>
      <c r="H48" s="3" t="s">
        <v>395</v>
      </c>
      <c r="I48" s="3" t="s">
        <v>396</v>
      </c>
      <c r="J48" s="2"/>
      <c r="K48" s="7"/>
      <c r="L48" s="2" t="str">
        <f t="shared" si="0"/>
        <v/>
      </c>
      <c r="M48" s="8" t="s">
        <v>261</v>
      </c>
      <c r="N48" s="8"/>
    </row>
    <row r="49" ht="120.75" customHeight="1" spans="1:14">
      <c r="A49" s="2">
        <v>48</v>
      </c>
      <c r="B49" s="3" t="s">
        <v>255</v>
      </c>
      <c r="C49" s="2">
        <v>3298398</v>
      </c>
      <c r="D49" s="2" t="s">
        <v>132</v>
      </c>
      <c r="E49" s="2" t="s">
        <v>257</v>
      </c>
      <c r="F49" s="6">
        <v>41996.7569097222</v>
      </c>
      <c r="G49" s="3" t="s">
        <v>266</v>
      </c>
      <c r="H49" s="3" t="s">
        <v>397</v>
      </c>
      <c r="I49" s="3" t="s">
        <v>398</v>
      </c>
      <c r="J49" s="2"/>
      <c r="K49" s="7"/>
      <c r="L49" s="2" t="str">
        <f t="shared" si="0"/>
        <v/>
      </c>
      <c r="M49" s="8" t="s">
        <v>261</v>
      </c>
      <c r="N49" s="8"/>
    </row>
    <row r="50" ht="94.5" customHeight="1" spans="1:14">
      <c r="A50" s="2">
        <v>49</v>
      </c>
      <c r="B50" s="3" t="s">
        <v>255</v>
      </c>
      <c r="C50" s="2">
        <v>3316976</v>
      </c>
      <c r="D50" s="2" t="s">
        <v>399</v>
      </c>
      <c r="E50" s="3" t="s">
        <v>272</v>
      </c>
      <c r="F50" s="6">
        <v>41289.4095138889</v>
      </c>
      <c r="G50" s="2" t="s">
        <v>273</v>
      </c>
      <c r="H50" s="3" t="s">
        <v>400</v>
      </c>
      <c r="I50" s="3" t="s">
        <v>401</v>
      </c>
      <c r="J50" s="2"/>
      <c r="K50" s="7"/>
      <c r="L50" s="2" t="str">
        <f t="shared" si="0"/>
        <v/>
      </c>
      <c r="M50" s="8" t="s">
        <v>261</v>
      </c>
      <c r="N50" s="8"/>
    </row>
    <row r="51" ht="133.5" customHeight="1" spans="1:14">
      <c r="A51" s="2">
        <v>50</v>
      </c>
      <c r="B51" s="3" t="s">
        <v>255</v>
      </c>
      <c r="C51" s="2">
        <v>3333843</v>
      </c>
      <c r="D51" s="2" t="s">
        <v>402</v>
      </c>
      <c r="E51" s="2" t="s">
        <v>257</v>
      </c>
      <c r="F51" s="6">
        <v>42041.2304050926</v>
      </c>
      <c r="G51" s="3" t="s">
        <v>266</v>
      </c>
      <c r="H51" s="3" t="s">
        <v>403</v>
      </c>
      <c r="I51" s="3" t="s">
        <v>404</v>
      </c>
      <c r="J51" s="2"/>
      <c r="K51" s="7"/>
      <c r="L51" s="2" t="str">
        <f t="shared" si="0"/>
        <v/>
      </c>
      <c r="M51" s="8" t="s">
        <v>261</v>
      </c>
      <c r="N51" s="8"/>
    </row>
    <row r="52" ht="94.5" customHeight="1" spans="1:14">
      <c r="A52" s="2">
        <v>51</v>
      </c>
      <c r="B52" s="3" t="s">
        <v>255</v>
      </c>
      <c r="C52" s="2">
        <v>3346551</v>
      </c>
      <c r="D52" s="2" t="s">
        <v>405</v>
      </c>
      <c r="E52" s="3" t="s">
        <v>272</v>
      </c>
      <c r="F52" s="6">
        <v>42069.4344097222</v>
      </c>
      <c r="G52" s="2" t="s">
        <v>273</v>
      </c>
      <c r="H52" s="3" t="s">
        <v>406</v>
      </c>
      <c r="I52" s="2" t="s">
        <v>407</v>
      </c>
      <c r="J52" s="2"/>
      <c r="K52" s="7"/>
      <c r="L52" s="2" t="str">
        <f t="shared" si="0"/>
        <v/>
      </c>
      <c r="M52" s="8" t="s">
        <v>261</v>
      </c>
      <c r="N52" s="8"/>
    </row>
    <row r="53" ht="108" customHeight="1" spans="1:14">
      <c r="A53" s="2">
        <v>52</v>
      </c>
      <c r="B53" s="3" t="s">
        <v>255</v>
      </c>
      <c r="C53" s="2">
        <v>3386220</v>
      </c>
      <c r="D53" s="2" t="s">
        <v>408</v>
      </c>
      <c r="E53" s="2" t="s">
        <v>257</v>
      </c>
      <c r="F53" s="6">
        <v>42165.3550810185</v>
      </c>
      <c r="G53" s="3" t="s">
        <v>266</v>
      </c>
      <c r="H53" s="3" t="s">
        <v>409</v>
      </c>
      <c r="I53" s="3" t="s">
        <v>410</v>
      </c>
      <c r="J53" s="2"/>
      <c r="K53" s="7"/>
      <c r="L53" s="2" t="str">
        <f t="shared" si="0"/>
        <v/>
      </c>
      <c r="M53" s="8" t="s">
        <v>261</v>
      </c>
      <c r="N53" s="8"/>
    </row>
    <row r="54" ht="94.5" customHeight="1" spans="1:14">
      <c r="A54" s="2">
        <v>53</v>
      </c>
      <c r="B54" s="3" t="s">
        <v>255</v>
      </c>
      <c r="C54" s="2">
        <v>3476592</v>
      </c>
      <c r="D54" s="2" t="s">
        <v>411</v>
      </c>
      <c r="E54" s="2" t="s">
        <v>257</v>
      </c>
      <c r="F54" s="6">
        <v>42544.7298611111</v>
      </c>
      <c r="G54" s="3" t="s">
        <v>266</v>
      </c>
      <c r="H54" s="3" t="s">
        <v>412</v>
      </c>
      <c r="I54" s="3" t="s">
        <v>413</v>
      </c>
      <c r="J54" s="2"/>
      <c r="K54" s="7"/>
      <c r="L54" s="2" t="str">
        <f t="shared" si="0"/>
        <v/>
      </c>
      <c r="M54" s="8" t="s">
        <v>261</v>
      </c>
      <c r="N54" s="8"/>
    </row>
    <row r="55" ht="69" customHeight="1" spans="1:14">
      <c r="A55" s="2">
        <v>54</v>
      </c>
      <c r="B55" s="3" t="s">
        <v>255</v>
      </c>
      <c r="C55" s="2">
        <v>3545381</v>
      </c>
      <c r="D55" s="2" t="s">
        <v>414</v>
      </c>
      <c r="E55" s="3" t="s">
        <v>272</v>
      </c>
      <c r="F55" s="6">
        <v>42656.3956828704</v>
      </c>
      <c r="G55" s="2" t="s">
        <v>415</v>
      </c>
      <c r="H55" s="3" t="s">
        <v>416</v>
      </c>
      <c r="I55" s="3" t="s">
        <v>417</v>
      </c>
      <c r="J55" s="2"/>
      <c r="K55" s="7"/>
      <c r="L55" s="2" t="str">
        <f t="shared" si="0"/>
        <v/>
      </c>
      <c r="M55" s="8" t="s">
        <v>261</v>
      </c>
      <c r="N55" s="8"/>
    </row>
    <row r="56" ht="81.75" customHeight="1" spans="1:14">
      <c r="A56" s="2">
        <v>55</v>
      </c>
      <c r="B56" s="3" t="s">
        <v>255</v>
      </c>
      <c r="C56" s="2">
        <v>3556916</v>
      </c>
      <c r="D56" s="2" t="s">
        <v>418</v>
      </c>
      <c r="E56" s="3" t="s">
        <v>272</v>
      </c>
      <c r="F56" s="6">
        <v>42674.4403240741</v>
      </c>
      <c r="G56" s="2" t="s">
        <v>273</v>
      </c>
      <c r="H56" s="3" t="s">
        <v>419</v>
      </c>
      <c r="I56" s="3" t="s">
        <v>420</v>
      </c>
      <c r="J56" s="2"/>
      <c r="K56" s="7"/>
      <c r="L56" s="2" t="str">
        <f t="shared" si="0"/>
        <v/>
      </c>
      <c r="M56" s="8" t="s">
        <v>261</v>
      </c>
      <c r="N56" s="8"/>
    </row>
    <row r="57" ht="94.5" customHeight="1" spans="1:14">
      <c r="A57" s="2">
        <v>56</v>
      </c>
      <c r="B57" s="3" t="s">
        <v>255</v>
      </c>
      <c r="C57" s="2">
        <v>3582196</v>
      </c>
      <c r="D57" s="2" t="s">
        <v>421</v>
      </c>
      <c r="E57" s="3" t="s">
        <v>272</v>
      </c>
      <c r="F57" s="6">
        <v>42712.4424305556</v>
      </c>
      <c r="G57" s="2" t="s">
        <v>273</v>
      </c>
      <c r="H57" s="3" t="s">
        <v>422</v>
      </c>
      <c r="I57" s="3" t="s">
        <v>423</v>
      </c>
      <c r="J57" s="2"/>
      <c r="K57" s="7"/>
      <c r="L57" s="2" t="str">
        <f t="shared" si="0"/>
        <v/>
      </c>
      <c r="M57" s="8" t="s">
        <v>261</v>
      </c>
      <c r="N57" s="8"/>
    </row>
    <row r="58" ht="55.5" customHeight="1" spans="1:14">
      <c r="A58" s="2">
        <v>57</v>
      </c>
      <c r="B58" s="3" t="s">
        <v>255</v>
      </c>
      <c r="C58" s="2">
        <v>3684368</v>
      </c>
      <c r="D58" s="2" t="s">
        <v>424</v>
      </c>
      <c r="E58" s="2" t="s">
        <v>257</v>
      </c>
      <c r="F58" s="6">
        <v>43620.5319444445</v>
      </c>
      <c r="G58" s="3" t="s">
        <v>258</v>
      </c>
      <c r="H58" s="3" t="s">
        <v>425</v>
      </c>
      <c r="I58" s="3" t="s">
        <v>426</v>
      </c>
      <c r="J58" s="2"/>
      <c r="K58" s="7"/>
      <c r="L58" s="2" t="str">
        <f t="shared" si="0"/>
        <v/>
      </c>
      <c r="M58" s="8" t="s">
        <v>261</v>
      </c>
      <c r="N58" s="8"/>
    </row>
    <row r="59" ht="69" customHeight="1" spans="1:14">
      <c r="A59" s="2">
        <v>58</v>
      </c>
      <c r="B59" s="3" t="s">
        <v>255</v>
      </c>
      <c r="C59" s="2">
        <v>3795119</v>
      </c>
      <c r="D59" s="2" t="s">
        <v>427</v>
      </c>
      <c r="E59" s="3" t="s">
        <v>272</v>
      </c>
      <c r="F59" s="6">
        <v>41313.3892592593</v>
      </c>
      <c r="G59" s="2" t="s">
        <v>273</v>
      </c>
      <c r="H59" s="3" t="s">
        <v>428</v>
      </c>
      <c r="I59" s="3" t="s">
        <v>429</v>
      </c>
      <c r="J59" s="2"/>
      <c r="K59" s="7"/>
      <c r="L59" s="2" t="str">
        <f t="shared" si="0"/>
        <v/>
      </c>
      <c r="M59" s="8" t="s">
        <v>261</v>
      </c>
      <c r="N59" s="8"/>
    </row>
    <row r="60" ht="120.75" customHeight="1" spans="1:14">
      <c r="A60" s="2">
        <v>59</v>
      </c>
      <c r="B60" s="3" t="s">
        <v>255</v>
      </c>
      <c r="C60" s="2">
        <v>3821436</v>
      </c>
      <c r="D60" s="2" t="s">
        <v>430</v>
      </c>
      <c r="E60" s="2" t="s">
        <v>257</v>
      </c>
      <c r="F60" s="6">
        <v>42737.7251157407</v>
      </c>
      <c r="G60" s="3" t="s">
        <v>266</v>
      </c>
      <c r="H60" s="3" t="s">
        <v>431</v>
      </c>
      <c r="I60" s="3" t="s">
        <v>432</v>
      </c>
      <c r="J60" s="2"/>
      <c r="K60" s="7"/>
      <c r="L60" s="2" t="str">
        <f t="shared" si="0"/>
        <v/>
      </c>
      <c r="M60" s="8" t="s">
        <v>261</v>
      </c>
      <c r="N60" s="8"/>
    </row>
    <row r="61" ht="120.75" customHeight="1" spans="1:14">
      <c r="A61" s="2">
        <v>60</v>
      </c>
      <c r="B61" s="3" t="s">
        <v>255</v>
      </c>
      <c r="C61" s="2">
        <v>3824308</v>
      </c>
      <c r="D61" s="2" t="s">
        <v>433</v>
      </c>
      <c r="E61" s="3" t="s">
        <v>272</v>
      </c>
      <c r="F61" s="6">
        <v>42752.3948611111</v>
      </c>
      <c r="G61" s="2" t="s">
        <v>273</v>
      </c>
      <c r="H61" s="3" t="s">
        <v>434</v>
      </c>
      <c r="I61" s="2" t="s">
        <v>435</v>
      </c>
      <c r="J61" s="2"/>
      <c r="K61" s="7"/>
      <c r="L61" s="2" t="str">
        <f t="shared" si="0"/>
        <v/>
      </c>
      <c r="M61" s="8" t="s">
        <v>261</v>
      </c>
      <c r="N61" s="8"/>
    </row>
    <row r="62" ht="108" customHeight="1" spans="1:14">
      <c r="A62" s="2">
        <v>61</v>
      </c>
      <c r="B62" s="3" t="s">
        <v>255</v>
      </c>
      <c r="C62" s="2">
        <v>3824467</v>
      </c>
      <c r="D62" s="2" t="s">
        <v>436</v>
      </c>
      <c r="E62" s="2" t="s">
        <v>257</v>
      </c>
      <c r="F62" s="6">
        <v>42743.4472453704</v>
      </c>
      <c r="G62" s="3" t="s">
        <v>344</v>
      </c>
      <c r="H62" s="3" t="s">
        <v>437</v>
      </c>
      <c r="I62" s="3" t="s">
        <v>438</v>
      </c>
      <c r="J62" s="2"/>
      <c r="K62" s="7"/>
      <c r="L62" s="2" t="str">
        <f t="shared" si="0"/>
        <v/>
      </c>
      <c r="M62" s="8" t="s">
        <v>261</v>
      </c>
      <c r="N62" s="8"/>
    </row>
    <row r="63" ht="69" customHeight="1" spans="1:14">
      <c r="A63" s="2">
        <v>62</v>
      </c>
      <c r="B63" s="3" t="s">
        <v>255</v>
      </c>
      <c r="C63" s="2">
        <v>3826010</v>
      </c>
      <c r="D63" s="2" t="s">
        <v>439</v>
      </c>
      <c r="E63" s="3" t="s">
        <v>262</v>
      </c>
      <c r="F63" s="6">
        <v>42969.6854861111</v>
      </c>
      <c r="G63" s="3" t="s">
        <v>263</v>
      </c>
      <c r="H63" s="3" t="s">
        <v>440</v>
      </c>
      <c r="I63" s="3" t="s">
        <v>441</v>
      </c>
      <c r="J63" s="9" t="s">
        <v>305</v>
      </c>
      <c r="K63" s="7"/>
      <c r="L63" s="2" t="str">
        <f t="shared" si="0"/>
        <v/>
      </c>
      <c r="M63" s="8" t="s">
        <v>306</v>
      </c>
      <c r="N63" s="8"/>
    </row>
    <row r="64" ht="120.75" customHeight="1" spans="1:14">
      <c r="A64" s="2">
        <v>63</v>
      </c>
      <c r="B64" s="3" t="s">
        <v>255</v>
      </c>
      <c r="C64" s="2">
        <v>3937695</v>
      </c>
      <c r="D64" s="2" t="s">
        <v>442</v>
      </c>
      <c r="E64" s="3" t="s">
        <v>262</v>
      </c>
      <c r="F64" s="6">
        <v>43449.8170949074</v>
      </c>
      <c r="G64" s="3" t="s">
        <v>349</v>
      </c>
      <c r="H64" s="3" t="s">
        <v>443</v>
      </c>
      <c r="I64" s="3" t="s">
        <v>444</v>
      </c>
      <c r="J64" s="2"/>
      <c r="K64" s="7"/>
      <c r="L64" s="2" t="str">
        <f t="shared" si="0"/>
        <v/>
      </c>
      <c r="M64" s="8" t="s">
        <v>261</v>
      </c>
      <c r="N64" s="8"/>
    </row>
    <row r="65" ht="108" customHeight="1" spans="1:14">
      <c r="A65" s="2">
        <v>64</v>
      </c>
      <c r="B65" s="3" t="s">
        <v>255</v>
      </c>
      <c r="C65" s="2">
        <v>4025937</v>
      </c>
      <c r="D65" s="2" t="s">
        <v>445</v>
      </c>
      <c r="E65" s="2" t="s">
        <v>257</v>
      </c>
      <c r="F65" s="6">
        <v>42732.7965162037</v>
      </c>
      <c r="G65" s="3" t="s">
        <v>266</v>
      </c>
      <c r="H65" s="3" t="s">
        <v>446</v>
      </c>
      <c r="I65" s="3" t="s">
        <v>447</v>
      </c>
      <c r="J65" s="2"/>
      <c r="K65" s="7"/>
      <c r="L65" s="2" t="str">
        <f t="shared" si="0"/>
        <v/>
      </c>
      <c r="M65" s="8" t="s">
        <v>261</v>
      </c>
      <c r="N65" s="8"/>
    </row>
    <row r="66" ht="133.5" customHeight="1" spans="1:14">
      <c r="A66" s="2">
        <v>65</v>
      </c>
      <c r="B66" s="3" t="s">
        <v>255</v>
      </c>
      <c r="C66" s="2">
        <v>4040369</v>
      </c>
      <c r="D66" s="2" t="s">
        <v>448</v>
      </c>
      <c r="E66" s="3" t="s">
        <v>262</v>
      </c>
      <c r="F66" s="6">
        <v>42821.6263541667</v>
      </c>
      <c r="G66" s="3" t="s">
        <v>349</v>
      </c>
      <c r="H66" s="3" t="s">
        <v>449</v>
      </c>
      <c r="I66" s="3" t="s">
        <v>450</v>
      </c>
      <c r="J66" s="2"/>
      <c r="K66" s="7"/>
      <c r="L66" s="2" t="str">
        <f t="shared" ref="L66:L129" si="1">IF(K66="","",IF(MOD(F66,1)&lt;K66,"术前","术后"))</f>
        <v/>
      </c>
      <c r="M66" s="8" t="s">
        <v>261</v>
      </c>
      <c r="N66" s="8"/>
    </row>
    <row r="67" ht="94.5" customHeight="1" spans="1:14">
      <c r="A67" s="2">
        <v>66</v>
      </c>
      <c r="B67" s="3" t="s">
        <v>255</v>
      </c>
      <c r="C67" s="2">
        <v>4040369</v>
      </c>
      <c r="D67" s="2" t="s">
        <v>448</v>
      </c>
      <c r="E67" s="2" t="s">
        <v>257</v>
      </c>
      <c r="F67" s="6">
        <v>42821.6896527778</v>
      </c>
      <c r="G67" s="3" t="s">
        <v>266</v>
      </c>
      <c r="H67" s="3" t="s">
        <v>451</v>
      </c>
      <c r="I67" s="3" t="s">
        <v>452</v>
      </c>
      <c r="J67" s="2"/>
      <c r="K67" s="7"/>
      <c r="L67" s="2" t="str">
        <f t="shared" si="1"/>
        <v/>
      </c>
      <c r="M67" s="8" t="s">
        <v>261</v>
      </c>
      <c r="N67" s="8"/>
    </row>
    <row r="68" ht="42.75" customHeight="1" spans="1:14">
      <c r="A68" s="2">
        <v>67</v>
      </c>
      <c r="B68" s="3" t="s">
        <v>255</v>
      </c>
      <c r="C68" s="2">
        <v>4047383</v>
      </c>
      <c r="D68" s="2" t="s">
        <v>453</v>
      </c>
      <c r="E68" s="3" t="s">
        <v>262</v>
      </c>
      <c r="F68" s="6">
        <v>43025.4012268519</v>
      </c>
      <c r="G68" s="3" t="s">
        <v>454</v>
      </c>
      <c r="H68" s="3" t="s">
        <v>455</v>
      </c>
      <c r="I68" s="3" t="s">
        <v>456</v>
      </c>
      <c r="J68" s="2"/>
      <c r="K68" s="7"/>
      <c r="L68" s="2" t="str">
        <f t="shared" si="1"/>
        <v/>
      </c>
      <c r="M68" s="8" t="s">
        <v>261</v>
      </c>
      <c r="N68" s="8"/>
    </row>
    <row r="69" ht="94.5" customHeight="1" spans="1:14">
      <c r="A69" s="2">
        <v>68</v>
      </c>
      <c r="B69" s="3" t="s">
        <v>255</v>
      </c>
      <c r="C69" s="2">
        <v>4116206</v>
      </c>
      <c r="D69" s="2" t="s">
        <v>457</v>
      </c>
      <c r="E69" s="3" t="s">
        <v>272</v>
      </c>
      <c r="F69" s="6">
        <v>42488.367349537</v>
      </c>
      <c r="G69" s="2" t="s">
        <v>273</v>
      </c>
      <c r="H69" s="3" t="s">
        <v>458</v>
      </c>
      <c r="I69" s="3" t="s">
        <v>283</v>
      </c>
      <c r="J69" s="2"/>
      <c r="K69" s="7"/>
      <c r="L69" s="2" t="str">
        <f t="shared" si="1"/>
        <v/>
      </c>
      <c r="M69" s="8" t="s">
        <v>261</v>
      </c>
      <c r="N69" s="8"/>
    </row>
    <row r="70" ht="69" customHeight="1" spans="1:14">
      <c r="A70" s="2">
        <v>69</v>
      </c>
      <c r="B70" s="3" t="s">
        <v>255</v>
      </c>
      <c r="C70" s="2">
        <v>4158161</v>
      </c>
      <c r="D70" s="2" t="s">
        <v>459</v>
      </c>
      <c r="E70" s="3" t="s">
        <v>262</v>
      </c>
      <c r="F70" s="6">
        <v>44394.0353703704</v>
      </c>
      <c r="G70" s="3" t="s">
        <v>454</v>
      </c>
      <c r="H70" s="3" t="s">
        <v>460</v>
      </c>
      <c r="I70" s="3" t="s">
        <v>461</v>
      </c>
      <c r="J70" s="2"/>
      <c r="K70" s="7"/>
      <c r="L70" s="2" t="str">
        <f t="shared" si="1"/>
        <v/>
      </c>
      <c r="M70" s="8" t="s">
        <v>261</v>
      </c>
      <c r="N70" s="8"/>
    </row>
    <row r="71" ht="81.75" customHeight="1" spans="1:14">
      <c r="A71" s="2">
        <v>70</v>
      </c>
      <c r="B71" s="3" t="s">
        <v>255</v>
      </c>
      <c r="C71" s="2">
        <v>4158161</v>
      </c>
      <c r="D71" s="2" t="s">
        <v>459</v>
      </c>
      <c r="E71" s="2" t="s">
        <v>257</v>
      </c>
      <c r="F71" s="6">
        <v>44394.0613194444</v>
      </c>
      <c r="G71" s="3" t="s">
        <v>462</v>
      </c>
      <c r="H71" s="3" t="s">
        <v>463</v>
      </c>
      <c r="I71" s="3" t="s">
        <v>464</v>
      </c>
      <c r="J71" s="2"/>
      <c r="K71" s="7"/>
      <c r="L71" s="2" t="str">
        <f t="shared" si="1"/>
        <v/>
      </c>
      <c r="M71" s="8" t="s">
        <v>261</v>
      </c>
      <c r="N71" s="8"/>
    </row>
    <row r="72" ht="108" customHeight="1" spans="1:14">
      <c r="A72" s="2">
        <v>71</v>
      </c>
      <c r="B72" s="3" t="s">
        <v>255</v>
      </c>
      <c r="C72" s="2">
        <v>4264604</v>
      </c>
      <c r="D72" s="2" t="s">
        <v>465</v>
      </c>
      <c r="E72" s="2" t="s">
        <v>257</v>
      </c>
      <c r="F72" s="6">
        <v>42720.0430787037</v>
      </c>
      <c r="G72" s="3" t="s">
        <v>266</v>
      </c>
      <c r="H72" s="3" t="s">
        <v>466</v>
      </c>
      <c r="I72" s="3" t="s">
        <v>467</v>
      </c>
      <c r="J72" s="2"/>
      <c r="K72" s="7"/>
      <c r="L72" s="2" t="str">
        <f t="shared" si="1"/>
        <v/>
      </c>
      <c r="M72" s="8" t="s">
        <v>261</v>
      </c>
      <c r="N72" s="8"/>
    </row>
    <row r="73" ht="108" customHeight="1" spans="1:14">
      <c r="A73" s="2">
        <v>72</v>
      </c>
      <c r="B73" s="3" t="s">
        <v>255</v>
      </c>
      <c r="C73" s="2">
        <v>4264604</v>
      </c>
      <c r="D73" s="2" t="s">
        <v>465</v>
      </c>
      <c r="E73" s="3" t="s">
        <v>272</v>
      </c>
      <c r="F73" s="6">
        <v>42720.3942592593</v>
      </c>
      <c r="G73" s="2" t="s">
        <v>273</v>
      </c>
      <c r="H73" s="3" t="s">
        <v>468</v>
      </c>
      <c r="I73" s="3" t="s">
        <v>469</v>
      </c>
      <c r="J73" s="2"/>
      <c r="K73" s="7"/>
      <c r="L73" s="2" t="str">
        <f t="shared" si="1"/>
        <v/>
      </c>
      <c r="M73" s="8" t="s">
        <v>261</v>
      </c>
      <c r="N73" s="8"/>
    </row>
    <row r="74" ht="81.75" customHeight="1" spans="1:14">
      <c r="A74" s="2">
        <v>73</v>
      </c>
      <c r="B74" s="3" t="s">
        <v>255</v>
      </c>
      <c r="C74" s="2">
        <v>4265383</v>
      </c>
      <c r="D74" s="2" t="s">
        <v>470</v>
      </c>
      <c r="E74" s="3" t="s">
        <v>262</v>
      </c>
      <c r="F74" s="6">
        <v>44498.5795717593</v>
      </c>
      <c r="G74" s="3" t="s">
        <v>263</v>
      </c>
      <c r="H74" s="3" t="s">
        <v>471</v>
      </c>
      <c r="I74" s="3" t="s">
        <v>472</v>
      </c>
      <c r="J74" s="2"/>
      <c r="K74" s="7"/>
      <c r="L74" s="2" t="str">
        <f t="shared" si="1"/>
        <v/>
      </c>
      <c r="M74" s="8" t="s">
        <v>261</v>
      </c>
      <c r="N74" s="8"/>
    </row>
    <row r="75" ht="69" customHeight="1" spans="1:14">
      <c r="A75" s="2">
        <v>74</v>
      </c>
      <c r="B75" s="3" t="s">
        <v>255</v>
      </c>
      <c r="C75" s="2">
        <v>4265383</v>
      </c>
      <c r="D75" s="2" t="s">
        <v>470</v>
      </c>
      <c r="E75" s="3" t="s">
        <v>262</v>
      </c>
      <c r="F75" s="6">
        <v>44498.5914351852</v>
      </c>
      <c r="G75" s="3" t="s">
        <v>454</v>
      </c>
      <c r="H75" s="3" t="s">
        <v>473</v>
      </c>
      <c r="I75" s="3" t="s">
        <v>474</v>
      </c>
      <c r="J75" s="2"/>
      <c r="K75" s="7"/>
      <c r="L75" s="2" t="str">
        <f t="shared" si="1"/>
        <v/>
      </c>
      <c r="M75" s="8" t="s">
        <v>261</v>
      </c>
      <c r="N75" s="8"/>
    </row>
    <row r="76" ht="108" customHeight="1" spans="1:14">
      <c r="A76" s="2">
        <v>75</v>
      </c>
      <c r="B76" s="3" t="s">
        <v>255</v>
      </c>
      <c r="C76" s="2">
        <v>4265383</v>
      </c>
      <c r="D76" s="2" t="s">
        <v>470</v>
      </c>
      <c r="E76" s="2" t="s">
        <v>257</v>
      </c>
      <c r="F76" s="6">
        <v>44498.6530555556</v>
      </c>
      <c r="G76" s="3" t="s">
        <v>475</v>
      </c>
      <c r="H76" s="3" t="s">
        <v>476</v>
      </c>
      <c r="I76" s="2" t="s">
        <v>477</v>
      </c>
      <c r="J76" s="2"/>
      <c r="K76" s="7"/>
      <c r="L76" s="2" t="str">
        <f t="shared" si="1"/>
        <v/>
      </c>
      <c r="M76" s="8" t="s">
        <v>261</v>
      </c>
      <c r="N76" s="8"/>
    </row>
    <row r="77" ht="81.75" customHeight="1" spans="1:14">
      <c r="A77" s="2">
        <v>76</v>
      </c>
      <c r="B77" s="3" t="s">
        <v>255</v>
      </c>
      <c r="C77" s="2">
        <v>4288350</v>
      </c>
      <c r="D77" s="2" t="s">
        <v>478</v>
      </c>
      <c r="E77" s="3" t="s">
        <v>272</v>
      </c>
      <c r="F77" s="6">
        <v>43040.3728819444</v>
      </c>
      <c r="G77" s="3" t="s">
        <v>479</v>
      </c>
      <c r="H77" s="3" t="s">
        <v>480</v>
      </c>
      <c r="I77" s="3" t="s">
        <v>481</v>
      </c>
      <c r="J77" s="2"/>
      <c r="K77" s="7"/>
      <c r="L77" s="2" t="str">
        <f t="shared" si="1"/>
        <v/>
      </c>
      <c r="M77" s="8" t="s">
        <v>261</v>
      </c>
      <c r="N77" s="8"/>
    </row>
    <row r="78" ht="69" customHeight="1" spans="1:14">
      <c r="A78" s="2">
        <v>77</v>
      </c>
      <c r="B78" s="3" t="s">
        <v>255</v>
      </c>
      <c r="C78" s="2">
        <v>4310607</v>
      </c>
      <c r="D78" s="2" t="s">
        <v>482</v>
      </c>
      <c r="E78" s="2" t="s">
        <v>257</v>
      </c>
      <c r="F78" s="6">
        <v>44128.6602893519</v>
      </c>
      <c r="G78" s="3" t="s">
        <v>462</v>
      </c>
      <c r="H78" s="3" t="s">
        <v>483</v>
      </c>
      <c r="I78" s="3" t="s">
        <v>484</v>
      </c>
      <c r="J78" s="2"/>
      <c r="K78" s="7"/>
      <c r="L78" s="2" t="str">
        <f t="shared" si="1"/>
        <v/>
      </c>
      <c r="M78" s="8" t="s">
        <v>261</v>
      </c>
      <c r="N78" s="8"/>
    </row>
    <row r="79" ht="120.75" customHeight="1" spans="1:14">
      <c r="A79" s="2">
        <v>78</v>
      </c>
      <c r="B79" s="3" t="s">
        <v>255</v>
      </c>
      <c r="C79" s="2">
        <v>4310607</v>
      </c>
      <c r="D79" s="2" t="s">
        <v>482</v>
      </c>
      <c r="E79" s="3" t="s">
        <v>262</v>
      </c>
      <c r="F79" s="6">
        <v>44128.8922222222</v>
      </c>
      <c r="G79" s="3" t="s">
        <v>263</v>
      </c>
      <c r="H79" s="3" t="s">
        <v>485</v>
      </c>
      <c r="I79" s="3" t="s">
        <v>486</v>
      </c>
      <c r="J79" s="2"/>
      <c r="K79" s="7"/>
      <c r="L79" s="2" t="str">
        <f t="shared" si="1"/>
        <v/>
      </c>
      <c r="M79" s="8" t="s">
        <v>261</v>
      </c>
      <c r="N79" s="8"/>
    </row>
    <row r="80" ht="42.75" customHeight="1" spans="1:14">
      <c r="A80" s="2">
        <v>79</v>
      </c>
      <c r="B80" s="3" t="s">
        <v>255</v>
      </c>
      <c r="C80" s="2">
        <v>4310607</v>
      </c>
      <c r="D80" s="2" t="s">
        <v>482</v>
      </c>
      <c r="E80" s="3" t="s">
        <v>262</v>
      </c>
      <c r="F80" s="6">
        <v>44128.906875</v>
      </c>
      <c r="G80" s="3" t="s">
        <v>454</v>
      </c>
      <c r="H80" s="2"/>
      <c r="I80" s="2"/>
      <c r="J80" s="2"/>
      <c r="K80" s="7"/>
      <c r="L80" s="2" t="str">
        <f t="shared" si="1"/>
        <v/>
      </c>
      <c r="M80" s="8" t="s">
        <v>487</v>
      </c>
      <c r="N80" s="8"/>
    </row>
    <row r="81" ht="69" customHeight="1" spans="1:14">
      <c r="A81" s="2">
        <v>80</v>
      </c>
      <c r="B81" s="3" t="s">
        <v>255</v>
      </c>
      <c r="C81" s="2">
        <v>4364572</v>
      </c>
      <c r="D81" s="2" t="s">
        <v>488</v>
      </c>
      <c r="E81" s="2" t="s">
        <v>257</v>
      </c>
      <c r="F81" s="6">
        <v>43231.7205671296</v>
      </c>
      <c r="G81" s="3" t="s">
        <v>377</v>
      </c>
      <c r="H81" s="3" t="s">
        <v>489</v>
      </c>
      <c r="I81" s="3" t="s">
        <v>490</v>
      </c>
      <c r="J81" s="2"/>
      <c r="K81" s="7"/>
      <c r="L81" s="2" t="str">
        <f t="shared" si="1"/>
        <v/>
      </c>
      <c r="M81" s="8" t="s">
        <v>261</v>
      </c>
      <c r="N81" s="8"/>
    </row>
    <row r="82" ht="133.5" customHeight="1" spans="1:14">
      <c r="A82" s="2">
        <v>81</v>
      </c>
      <c r="B82" s="3" t="s">
        <v>255</v>
      </c>
      <c r="C82" s="2">
        <v>4379700</v>
      </c>
      <c r="D82" s="2" t="s">
        <v>491</v>
      </c>
      <c r="E82" s="2" t="s">
        <v>257</v>
      </c>
      <c r="F82" s="6">
        <v>42803.0549884259</v>
      </c>
      <c r="G82" s="3" t="s">
        <v>266</v>
      </c>
      <c r="H82" s="3" t="s">
        <v>492</v>
      </c>
      <c r="I82" s="3" t="s">
        <v>493</v>
      </c>
      <c r="J82" s="2"/>
      <c r="K82" s="7"/>
      <c r="L82" s="2" t="str">
        <f t="shared" si="1"/>
        <v/>
      </c>
      <c r="M82" s="8" t="s">
        <v>261</v>
      </c>
      <c r="N82" s="8"/>
    </row>
    <row r="83" ht="120.75" customHeight="1" spans="1:14">
      <c r="A83" s="2">
        <v>82</v>
      </c>
      <c r="B83" s="3" t="s">
        <v>255</v>
      </c>
      <c r="C83" s="2">
        <v>4379700</v>
      </c>
      <c r="D83" s="2" t="s">
        <v>491</v>
      </c>
      <c r="E83" s="3" t="s">
        <v>262</v>
      </c>
      <c r="F83" s="6">
        <v>42803.0709606482</v>
      </c>
      <c r="G83" s="3" t="s">
        <v>349</v>
      </c>
      <c r="H83" s="3" t="s">
        <v>494</v>
      </c>
      <c r="I83" s="3" t="s">
        <v>495</v>
      </c>
      <c r="J83" s="2"/>
      <c r="K83" s="7"/>
      <c r="L83" s="2" t="str">
        <f t="shared" si="1"/>
        <v/>
      </c>
      <c r="M83" s="8" t="s">
        <v>261</v>
      </c>
      <c r="N83" s="8"/>
    </row>
    <row r="84" ht="55.5" customHeight="1" spans="1:14">
      <c r="A84" s="2">
        <v>83</v>
      </c>
      <c r="B84" s="3" t="s">
        <v>255</v>
      </c>
      <c r="C84" s="2">
        <v>4381984</v>
      </c>
      <c r="D84" s="2" t="s">
        <v>496</v>
      </c>
      <c r="E84" s="2" t="s">
        <v>257</v>
      </c>
      <c r="F84" s="6">
        <v>44013.1500347222</v>
      </c>
      <c r="G84" s="3" t="s">
        <v>462</v>
      </c>
      <c r="H84" s="3" t="s">
        <v>497</v>
      </c>
      <c r="I84" s="3" t="s">
        <v>498</v>
      </c>
      <c r="J84" s="2"/>
      <c r="K84" s="7"/>
      <c r="L84" s="2" t="str">
        <f t="shared" si="1"/>
        <v/>
      </c>
      <c r="M84" s="8" t="s">
        <v>261</v>
      </c>
      <c r="N84" s="8"/>
    </row>
    <row r="85" ht="69" customHeight="1" spans="1:14">
      <c r="A85" s="2">
        <v>84</v>
      </c>
      <c r="B85" s="3" t="s">
        <v>255</v>
      </c>
      <c r="C85" s="2">
        <v>4381984</v>
      </c>
      <c r="D85" s="2" t="s">
        <v>496</v>
      </c>
      <c r="E85" s="3" t="s">
        <v>262</v>
      </c>
      <c r="F85" s="6">
        <v>44013.1605092593</v>
      </c>
      <c r="G85" s="3" t="s">
        <v>454</v>
      </c>
      <c r="H85" s="3" t="s">
        <v>499</v>
      </c>
      <c r="I85" s="3" t="s">
        <v>500</v>
      </c>
      <c r="J85" s="2"/>
      <c r="K85" s="7"/>
      <c r="L85" s="2" t="str">
        <f t="shared" si="1"/>
        <v/>
      </c>
      <c r="M85" s="8" t="s">
        <v>261</v>
      </c>
      <c r="N85" s="8"/>
    </row>
    <row r="86" ht="55.5" customHeight="1" spans="1:14">
      <c r="A86" s="2">
        <v>85</v>
      </c>
      <c r="B86" s="3" t="s">
        <v>255</v>
      </c>
      <c r="C86" s="2">
        <v>4441143</v>
      </c>
      <c r="D86" s="2" t="s">
        <v>501</v>
      </c>
      <c r="E86" s="3" t="s">
        <v>272</v>
      </c>
      <c r="F86" s="6">
        <v>42311.3910069445</v>
      </c>
      <c r="G86" s="2" t="s">
        <v>415</v>
      </c>
      <c r="H86" s="3" t="s">
        <v>502</v>
      </c>
      <c r="I86" s="3" t="s">
        <v>503</v>
      </c>
      <c r="J86" s="2"/>
      <c r="K86" s="7"/>
      <c r="L86" s="2" t="str">
        <f t="shared" si="1"/>
        <v/>
      </c>
      <c r="M86" s="8" t="s">
        <v>261</v>
      </c>
      <c r="N86" s="8"/>
    </row>
    <row r="87" ht="147" customHeight="1" spans="1:14">
      <c r="A87" s="2">
        <v>86</v>
      </c>
      <c r="B87" s="3" t="s">
        <v>255</v>
      </c>
      <c r="C87" s="2">
        <v>4731039</v>
      </c>
      <c r="D87" s="2" t="s">
        <v>504</v>
      </c>
      <c r="E87" s="2" t="s">
        <v>257</v>
      </c>
      <c r="F87" s="6">
        <v>42634.6307407407</v>
      </c>
      <c r="G87" s="3" t="s">
        <v>266</v>
      </c>
      <c r="H87" s="3" t="s">
        <v>505</v>
      </c>
      <c r="I87" s="3" t="s">
        <v>506</v>
      </c>
      <c r="J87" s="2"/>
      <c r="K87" s="7"/>
      <c r="L87" s="2" t="str">
        <f t="shared" si="1"/>
        <v/>
      </c>
      <c r="M87" s="8" t="s">
        <v>261</v>
      </c>
      <c r="N87" s="8"/>
    </row>
    <row r="88" ht="120.75" customHeight="1" spans="1:14">
      <c r="A88" s="2">
        <v>87</v>
      </c>
      <c r="B88" s="3" t="s">
        <v>255</v>
      </c>
      <c r="C88" s="2">
        <v>4968474</v>
      </c>
      <c r="D88" s="2" t="s">
        <v>507</v>
      </c>
      <c r="E88" s="2" t="s">
        <v>257</v>
      </c>
      <c r="F88" s="6">
        <v>42465.1585185185</v>
      </c>
      <c r="G88" s="3" t="s">
        <v>266</v>
      </c>
      <c r="H88" s="3" t="s">
        <v>508</v>
      </c>
      <c r="I88" s="3" t="s">
        <v>509</v>
      </c>
      <c r="J88" s="2"/>
      <c r="K88" s="7"/>
      <c r="L88" s="2" t="str">
        <f t="shared" si="1"/>
        <v/>
      </c>
      <c r="M88" s="8" t="s">
        <v>261</v>
      </c>
      <c r="N88" s="8"/>
    </row>
    <row r="89" ht="108" customHeight="1" spans="1:14">
      <c r="A89" s="2">
        <v>88</v>
      </c>
      <c r="B89" s="3" t="s">
        <v>255</v>
      </c>
      <c r="C89" s="2">
        <v>4968474</v>
      </c>
      <c r="D89" s="2" t="s">
        <v>507</v>
      </c>
      <c r="E89" s="3" t="s">
        <v>272</v>
      </c>
      <c r="F89" s="6">
        <v>42465.3669328704</v>
      </c>
      <c r="G89" s="2" t="s">
        <v>273</v>
      </c>
      <c r="H89" s="3" t="s">
        <v>510</v>
      </c>
      <c r="I89" s="3" t="s">
        <v>511</v>
      </c>
      <c r="J89" s="2"/>
      <c r="K89" s="7"/>
      <c r="L89" s="2" t="str">
        <f t="shared" si="1"/>
        <v/>
      </c>
      <c r="M89" s="8" t="s">
        <v>261</v>
      </c>
      <c r="N89" s="8"/>
    </row>
    <row r="90" ht="94.5" customHeight="1" spans="1:14">
      <c r="A90" s="2">
        <v>89</v>
      </c>
      <c r="B90" s="3" t="s">
        <v>255</v>
      </c>
      <c r="C90" s="2">
        <v>5017463</v>
      </c>
      <c r="D90" s="2" t="s">
        <v>512</v>
      </c>
      <c r="E90" s="2" t="s">
        <v>257</v>
      </c>
      <c r="F90" s="6">
        <v>42659.1322453704</v>
      </c>
      <c r="G90" s="3" t="s">
        <v>266</v>
      </c>
      <c r="H90" s="3" t="s">
        <v>513</v>
      </c>
      <c r="I90" s="3" t="s">
        <v>514</v>
      </c>
      <c r="J90" s="2"/>
      <c r="K90" s="7"/>
      <c r="L90" s="2" t="str">
        <f t="shared" si="1"/>
        <v/>
      </c>
      <c r="M90" s="8" t="s">
        <v>261</v>
      </c>
      <c r="N90" s="8"/>
    </row>
    <row r="91" ht="133.5" customHeight="1" spans="1:14">
      <c r="A91" s="2">
        <v>90</v>
      </c>
      <c r="B91" s="3" t="s">
        <v>255</v>
      </c>
      <c r="C91" s="2">
        <v>5017463</v>
      </c>
      <c r="D91" s="2" t="s">
        <v>512</v>
      </c>
      <c r="E91" s="3" t="s">
        <v>262</v>
      </c>
      <c r="F91" s="6">
        <v>42659.1485300926</v>
      </c>
      <c r="G91" s="3" t="s">
        <v>349</v>
      </c>
      <c r="H91" s="3" t="s">
        <v>515</v>
      </c>
      <c r="I91" s="3" t="s">
        <v>495</v>
      </c>
      <c r="J91" s="2"/>
      <c r="K91" s="7"/>
      <c r="L91" s="2" t="str">
        <f t="shared" si="1"/>
        <v/>
      </c>
      <c r="M91" s="8" t="s">
        <v>261</v>
      </c>
      <c r="N91" s="8"/>
    </row>
    <row r="92" ht="81.75" customHeight="1" spans="1:14">
      <c r="A92" s="2">
        <v>91</v>
      </c>
      <c r="B92" s="3" t="s">
        <v>255</v>
      </c>
      <c r="C92" s="2">
        <v>5019054</v>
      </c>
      <c r="D92" s="2" t="s">
        <v>516</v>
      </c>
      <c r="E92" s="3" t="s">
        <v>272</v>
      </c>
      <c r="F92" s="6">
        <v>41929.3695138889</v>
      </c>
      <c r="G92" s="2" t="s">
        <v>273</v>
      </c>
      <c r="H92" s="3" t="s">
        <v>517</v>
      </c>
      <c r="I92" s="3" t="s">
        <v>518</v>
      </c>
      <c r="J92" s="2"/>
      <c r="K92" s="7"/>
      <c r="L92" s="2" t="str">
        <f t="shared" si="1"/>
        <v/>
      </c>
      <c r="M92" s="8" t="s">
        <v>261</v>
      </c>
      <c r="N92" s="8"/>
    </row>
    <row r="93" ht="108" customHeight="1" spans="1:14">
      <c r="A93" s="2">
        <v>92</v>
      </c>
      <c r="B93" s="3" t="s">
        <v>255</v>
      </c>
      <c r="C93" s="2">
        <v>5089526</v>
      </c>
      <c r="D93" s="2" t="s">
        <v>519</v>
      </c>
      <c r="E93" s="3" t="s">
        <v>272</v>
      </c>
      <c r="F93" s="6">
        <v>42768.401875</v>
      </c>
      <c r="G93" s="2" t="s">
        <v>273</v>
      </c>
      <c r="H93" s="3" t="s">
        <v>520</v>
      </c>
      <c r="I93" s="3" t="s">
        <v>521</v>
      </c>
      <c r="J93" s="2"/>
      <c r="K93" s="7"/>
      <c r="L93" s="2" t="str">
        <f t="shared" si="1"/>
        <v/>
      </c>
      <c r="M93" s="8" t="s">
        <v>261</v>
      </c>
      <c r="N93" s="8"/>
    </row>
    <row r="94" ht="237.75" customHeight="1" spans="1:14">
      <c r="A94" s="2">
        <v>93</v>
      </c>
      <c r="B94" s="3" t="s">
        <v>255</v>
      </c>
      <c r="C94" s="2">
        <v>5520878</v>
      </c>
      <c r="D94" s="2" t="s">
        <v>522</v>
      </c>
      <c r="E94" s="3" t="s">
        <v>262</v>
      </c>
      <c r="F94" s="6">
        <v>43964.6831365741</v>
      </c>
      <c r="G94" s="3" t="s">
        <v>263</v>
      </c>
      <c r="H94" s="3" t="s">
        <v>523</v>
      </c>
      <c r="I94" s="3" t="s">
        <v>524</v>
      </c>
      <c r="J94" s="2"/>
      <c r="K94" s="7"/>
      <c r="L94" s="2" t="str">
        <f t="shared" si="1"/>
        <v/>
      </c>
      <c r="M94" s="8" t="s">
        <v>261</v>
      </c>
      <c r="N94" s="8"/>
    </row>
    <row r="95" ht="147" customHeight="1" spans="1:14">
      <c r="A95" s="2">
        <v>94</v>
      </c>
      <c r="B95" s="3" t="s">
        <v>255</v>
      </c>
      <c r="C95" s="2">
        <v>5702604</v>
      </c>
      <c r="D95" s="2" t="s">
        <v>525</v>
      </c>
      <c r="E95" s="3" t="s">
        <v>262</v>
      </c>
      <c r="F95" s="6">
        <v>42669.0184953704</v>
      </c>
      <c r="G95" s="3" t="s">
        <v>349</v>
      </c>
      <c r="H95" s="3" t="s">
        <v>526</v>
      </c>
      <c r="I95" s="3" t="s">
        <v>527</v>
      </c>
      <c r="J95" s="2"/>
      <c r="K95" s="7"/>
      <c r="L95" s="2" t="str">
        <f t="shared" si="1"/>
        <v/>
      </c>
      <c r="M95" s="8" t="s">
        <v>261</v>
      </c>
      <c r="N95" s="8"/>
    </row>
    <row r="96" ht="108" customHeight="1" spans="1:14">
      <c r="A96" s="2">
        <v>95</v>
      </c>
      <c r="B96" s="3" t="s">
        <v>255</v>
      </c>
      <c r="C96" s="2">
        <v>5702604</v>
      </c>
      <c r="D96" s="2" t="s">
        <v>525</v>
      </c>
      <c r="E96" s="3" t="s">
        <v>272</v>
      </c>
      <c r="F96" s="6">
        <v>42669.4032060185</v>
      </c>
      <c r="G96" s="2" t="s">
        <v>273</v>
      </c>
      <c r="H96" s="3" t="s">
        <v>528</v>
      </c>
      <c r="I96" s="3" t="s">
        <v>529</v>
      </c>
      <c r="J96" s="2"/>
      <c r="K96" s="7"/>
      <c r="L96" s="2" t="str">
        <f t="shared" si="1"/>
        <v/>
      </c>
      <c r="M96" s="8" t="s">
        <v>261</v>
      </c>
      <c r="N96" s="8"/>
    </row>
    <row r="97" ht="81.75" customHeight="1" spans="1:14">
      <c r="A97" s="2">
        <v>96</v>
      </c>
      <c r="B97" s="3" t="s">
        <v>255</v>
      </c>
      <c r="C97" s="2">
        <v>5706536</v>
      </c>
      <c r="D97" s="2" t="s">
        <v>530</v>
      </c>
      <c r="E97" s="3" t="s">
        <v>272</v>
      </c>
      <c r="F97" s="6">
        <v>42566.4179861111</v>
      </c>
      <c r="G97" s="2" t="s">
        <v>273</v>
      </c>
      <c r="H97" s="3" t="s">
        <v>531</v>
      </c>
      <c r="I97" s="3" t="s">
        <v>532</v>
      </c>
      <c r="J97" s="2"/>
      <c r="K97" s="7"/>
      <c r="L97" s="2" t="str">
        <f t="shared" si="1"/>
        <v/>
      </c>
      <c r="M97" s="8" t="s">
        <v>261</v>
      </c>
      <c r="N97" s="8"/>
    </row>
    <row r="98" ht="69" customHeight="1" spans="1:14">
      <c r="A98" s="2">
        <v>97</v>
      </c>
      <c r="B98" s="3" t="s">
        <v>255</v>
      </c>
      <c r="C98" s="2">
        <v>5883587</v>
      </c>
      <c r="D98" s="2" t="s">
        <v>533</v>
      </c>
      <c r="E98" s="2" t="s">
        <v>257</v>
      </c>
      <c r="F98" s="6">
        <v>44094.1080092593</v>
      </c>
      <c r="G98" s="3" t="s">
        <v>462</v>
      </c>
      <c r="H98" s="3" t="s">
        <v>534</v>
      </c>
      <c r="I98" s="3" t="s">
        <v>535</v>
      </c>
      <c r="J98" s="2"/>
      <c r="K98" s="7"/>
      <c r="L98" s="2" t="str">
        <f t="shared" si="1"/>
        <v/>
      </c>
      <c r="M98" s="8" t="s">
        <v>261</v>
      </c>
      <c r="N98" s="8"/>
    </row>
    <row r="99" ht="69" customHeight="1" spans="1:14">
      <c r="A99" s="2">
        <v>98</v>
      </c>
      <c r="B99" s="3" t="s">
        <v>255</v>
      </c>
      <c r="C99" s="2">
        <v>5883587</v>
      </c>
      <c r="D99" s="2" t="s">
        <v>533</v>
      </c>
      <c r="E99" s="3" t="s">
        <v>262</v>
      </c>
      <c r="F99" s="6">
        <v>44094.4069560185</v>
      </c>
      <c r="G99" s="3" t="s">
        <v>454</v>
      </c>
      <c r="H99" s="3" t="s">
        <v>536</v>
      </c>
      <c r="I99" s="3" t="s">
        <v>537</v>
      </c>
      <c r="J99" s="2"/>
      <c r="K99" s="7"/>
      <c r="L99" s="2" t="str">
        <f t="shared" si="1"/>
        <v/>
      </c>
      <c r="M99" s="8" t="s">
        <v>261</v>
      </c>
      <c r="N99" s="8"/>
    </row>
    <row r="100" ht="120.75" customHeight="1" spans="1:14">
      <c r="A100" s="2">
        <v>99</v>
      </c>
      <c r="B100" s="3" t="s">
        <v>255</v>
      </c>
      <c r="C100" s="2">
        <v>5886218</v>
      </c>
      <c r="D100" s="2" t="s">
        <v>538</v>
      </c>
      <c r="E100" s="3" t="s">
        <v>272</v>
      </c>
      <c r="F100" s="6">
        <v>44170.3973611111</v>
      </c>
      <c r="G100" s="3" t="s">
        <v>308</v>
      </c>
      <c r="H100" s="3" t="s">
        <v>539</v>
      </c>
      <c r="I100" s="3" t="s">
        <v>540</v>
      </c>
      <c r="J100" s="2"/>
      <c r="K100" s="7"/>
      <c r="L100" s="2" t="str">
        <f t="shared" si="1"/>
        <v/>
      </c>
      <c r="M100" s="8" t="s">
        <v>261</v>
      </c>
      <c r="N100" s="8"/>
    </row>
    <row r="101" ht="81.75" customHeight="1" spans="1:14">
      <c r="A101" s="2">
        <v>100</v>
      </c>
      <c r="B101" s="3" t="s">
        <v>255</v>
      </c>
      <c r="C101" s="2">
        <v>5888717</v>
      </c>
      <c r="D101" s="2" t="s">
        <v>541</v>
      </c>
      <c r="E101" s="3" t="s">
        <v>262</v>
      </c>
      <c r="F101" s="6">
        <v>44134.3699537037</v>
      </c>
      <c r="G101" s="3" t="s">
        <v>263</v>
      </c>
      <c r="H101" s="3" t="s">
        <v>542</v>
      </c>
      <c r="I101" s="3" t="s">
        <v>176</v>
      </c>
      <c r="J101" s="2"/>
      <c r="K101" s="7"/>
      <c r="L101" s="2" t="str">
        <f t="shared" si="1"/>
        <v/>
      </c>
      <c r="M101" s="8" t="s">
        <v>261</v>
      </c>
      <c r="N101" s="8"/>
    </row>
    <row r="102" ht="108" customHeight="1" spans="1:14">
      <c r="A102" s="2">
        <v>101</v>
      </c>
      <c r="B102" s="3" t="s">
        <v>255</v>
      </c>
      <c r="C102" s="2">
        <v>6109437</v>
      </c>
      <c r="D102" s="2" t="s">
        <v>543</v>
      </c>
      <c r="E102" s="2" t="s">
        <v>257</v>
      </c>
      <c r="F102" s="6">
        <v>41792.6607986111</v>
      </c>
      <c r="G102" s="3" t="s">
        <v>377</v>
      </c>
      <c r="H102" s="3" t="s">
        <v>544</v>
      </c>
      <c r="I102" s="3" t="s">
        <v>545</v>
      </c>
      <c r="J102" s="2"/>
      <c r="K102" s="7"/>
      <c r="L102" s="2" t="str">
        <f t="shared" si="1"/>
        <v/>
      </c>
      <c r="M102" s="8" t="s">
        <v>261</v>
      </c>
      <c r="N102" s="8"/>
    </row>
    <row r="103" ht="81.75" customHeight="1" spans="1:14">
      <c r="A103" s="2">
        <v>102</v>
      </c>
      <c r="B103" s="3" t="s">
        <v>255</v>
      </c>
      <c r="C103" s="2">
        <v>6126164</v>
      </c>
      <c r="D103" s="2" t="s">
        <v>546</v>
      </c>
      <c r="E103" s="3" t="s">
        <v>272</v>
      </c>
      <c r="F103" s="6">
        <v>42251.3722685185</v>
      </c>
      <c r="G103" s="2" t="s">
        <v>273</v>
      </c>
      <c r="H103" s="3" t="s">
        <v>547</v>
      </c>
      <c r="I103" s="3" t="s">
        <v>548</v>
      </c>
      <c r="J103" s="2"/>
      <c r="K103" s="7"/>
      <c r="L103" s="2" t="str">
        <f t="shared" si="1"/>
        <v/>
      </c>
      <c r="M103" s="8" t="s">
        <v>261</v>
      </c>
      <c r="N103" s="8"/>
    </row>
    <row r="104" ht="108" customHeight="1" spans="1:14">
      <c r="A104" s="2">
        <v>103</v>
      </c>
      <c r="B104" s="3" t="s">
        <v>255</v>
      </c>
      <c r="C104" s="2">
        <v>6369231</v>
      </c>
      <c r="D104" s="2" t="s">
        <v>170</v>
      </c>
      <c r="E104" s="2" t="s">
        <v>257</v>
      </c>
      <c r="F104" s="6">
        <v>42051.0234375</v>
      </c>
      <c r="G104" s="3" t="s">
        <v>266</v>
      </c>
      <c r="H104" s="3" t="s">
        <v>549</v>
      </c>
      <c r="I104" s="3" t="s">
        <v>550</v>
      </c>
      <c r="J104" s="2"/>
      <c r="K104" s="7"/>
      <c r="L104" s="2" t="str">
        <f t="shared" si="1"/>
        <v/>
      </c>
      <c r="M104" s="8" t="s">
        <v>261</v>
      </c>
      <c r="N104" s="8"/>
    </row>
    <row r="105" ht="94.5" customHeight="1" spans="1:14">
      <c r="A105" s="2">
        <v>104</v>
      </c>
      <c r="B105" s="3" t="s">
        <v>255</v>
      </c>
      <c r="C105" s="2">
        <v>6773730</v>
      </c>
      <c r="D105" s="2" t="s">
        <v>551</v>
      </c>
      <c r="E105" s="3" t="s">
        <v>272</v>
      </c>
      <c r="F105" s="6">
        <v>42158.4240625</v>
      </c>
      <c r="G105" s="2" t="s">
        <v>273</v>
      </c>
      <c r="H105" s="3" t="s">
        <v>552</v>
      </c>
      <c r="I105" s="3" t="s">
        <v>553</v>
      </c>
      <c r="J105" s="2"/>
      <c r="K105" s="7"/>
      <c r="L105" s="2" t="str">
        <f t="shared" si="1"/>
        <v/>
      </c>
      <c r="M105" s="8" t="s">
        <v>261</v>
      </c>
      <c r="N105" s="8"/>
    </row>
    <row r="106" ht="55.5" customHeight="1" spans="1:14">
      <c r="A106" s="2">
        <v>105</v>
      </c>
      <c r="B106" s="3" t="s">
        <v>255</v>
      </c>
      <c r="C106" s="2">
        <v>7943787</v>
      </c>
      <c r="D106" s="2" t="s">
        <v>554</v>
      </c>
      <c r="E106" s="3" t="s">
        <v>262</v>
      </c>
      <c r="F106" s="6">
        <v>44435.7596643519</v>
      </c>
      <c r="G106" s="3" t="s">
        <v>454</v>
      </c>
      <c r="H106" s="3" t="s">
        <v>555</v>
      </c>
      <c r="I106" s="3" t="s">
        <v>500</v>
      </c>
      <c r="J106" s="2"/>
      <c r="K106" s="7"/>
      <c r="L106" s="2" t="str">
        <f t="shared" si="1"/>
        <v/>
      </c>
      <c r="M106" s="8" t="s">
        <v>261</v>
      </c>
      <c r="N106" s="8"/>
    </row>
    <row r="107" ht="55.5" customHeight="1" spans="1:14">
      <c r="A107" s="2">
        <v>106</v>
      </c>
      <c r="B107" s="3" t="s">
        <v>255</v>
      </c>
      <c r="C107" s="2">
        <v>7943787</v>
      </c>
      <c r="D107" s="2" t="s">
        <v>554</v>
      </c>
      <c r="E107" s="2" t="s">
        <v>257</v>
      </c>
      <c r="F107" s="6">
        <v>44435.7769212963</v>
      </c>
      <c r="G107" s="3" t="s">
        <v>462</v>
      </c>
      <c r="H107" s="3" t="s">
        <v>556</v>
      </c>
      <c r="I107" s="3" t="s">
        <v>557</v>
      </c>
      <c r="J107" s="2"/>
      <c r="K107" s="7"/>
      <c r="L107" s="2" t="str">
        <f t="shared" si="1"/>
        <v/>
      </c>
      <c r="M107" s="8" t="s">
        <v>261</v>
      </c>
      <c r="N107" s="8"/>
    </row>
    <row r="108" ht="42.75" customHeight="1" spans="1:14">
      <c r="A108" s="2">
        <v>107</v>
      </c>
      <c r="B108" s="3" t="s">
        <v>255</v>
      </c>
      <c r="C108" s="2">
        <v>8294385</v>
      </c>
      <c r="D108" s="2" t="s">
        <v>558</v>
      </c>
      <c r="E108" s="3" t="s">
        <v>262</v>
      </c>
      <c r="F108" s="6">
        <v>44533.3650925926</v>
      </c>
      <c r="G108" s="3" t="s">
        <v>454</v>
      </c>
      <c r="H108" s="3" t="s">
        <v>455</v>
      </c>
      <c r="I108" s="3" t="s">
        <v>559</v>
      </c>
      <c r="J108" s="2"/>
      <c r="K108" s="7"/>
      <c r="L108" s="2" t="str">
        <f t="shared" si="1"/>
        <v/>
      </c>
      <c r="M108" s="8" t="s">
        <v>261</v>
      </c>
      <c r="N108" s="8"/>
    </row>
    <row r="109" ht="108" customHeight="1" spans="1:14">
      <c r="A109" s="2">
        <v>108</v>
      </c>
      <c r="B109" s="3" t="s">
        <v>255</v>
      </c>
      <c r="C109" s="2">
        <v>8294385</v>
      </c>
      <c r="D109" s="2" t="s">
        <v>558</v>
      </c>
      <c r="E109" s="3" t="s">
        <v>272</v>
      </c>
      <c r="F109" s="6">
        <v>44533.384837963</v>
      </c>
      <c r="G109" s="3" t="s">
        <v>308</v>
      </c>
      <c r="H109" s="3" t="s">
        <v>560</v>
      </c>
      <c r="I109" s="3" t="s">
        <v>561</v>
      </c>
      <c r="J109" s="2"/>
      <c r="K109" s="7"/>
      <c r="L109" s="2" t="str">
        <f t="shared" si="1"/>
        <v/>
      </c>
      <c r="M109" s="8" t="s">
        <v>261</v>
      </c>
      <c r="N109" s="8"/>
    </row>
    <row r="110" ht="69" customHeight="1" spans="1:14">
      <c r="A110" s="2">
        <v>109</v>
      </c>
      <c r="B110" s="3" t="s">
        <v>255</v>
      </c>
      <c r="C110" s="2">
        <v>8294385</v>
      </c>
      <c r="D110" s="2" t="s">
        <v>558</v>
      </c>
      <c r="E110" s="3" t="s">
        <v>262</v>
      </c>
      <c r="F110" s="6">
        <v>44533.386087963</v>
      </c>
      <c r="G110" s="3" t="s">
        <v>263</v>
      </c>
      <c r="H110" s="3" t="s">
        <v>562</v>
      </c>
      <c r="I110" s="3" t="s">
        <v>563</v>
      </c>
      <c r="J110" s="2"/>
      <c r="K110" s="7"/>
      <c r="L110" s="2" t="str">
        <f t="shared" si="1"/>
        <v/>
      </c>
      <c r="M110" s="8" t="s">
        <v>261</v>
      </c>
      <c r="N110" s="8"/>
    </row>
    <row r="111" ht="120.75" customHeight="1" spans="1:14">
      <c r="A111" s="2">
        <v>110</v>
      </c>
      <c r="B111" s="3" t="s">
        <v>255</v>
      </c>
      <c r="C111" s="2">
        <v>8336031</v>
      </c>
      <c r="D111" s="2" t="s">
        <v>181</v>
      </c>
      <c r="E111" s="3" t="s">
        <v>272</v>
      </c>
      <c r="F111" s="6">
        <v>44552.3660416667</v>
      </c>
      <c r="G111" s="3" t="s">
        <v>308</v>
      </c>
      <c r="H111" s="3" t="s">
        <v>564</v>
      </c>
      <c r="I111" s="3" t="s">
        <v>565</v>
      </c>
      <c r="J111" s="9" t="s">
        <v>305</v>
      </c>
      <c r="K111" s="7"/>
      <c r="L111" s="2" t="str">
        <f t="shared" si="1"/>
        <v/>
      </c>
      <c r="M111" s="8" t="s">
        <v>306</v>
      </c>
      <c r="N111" s="8"/>
    </row>
    <row r="112" ht="81.75" customHeight="1" spans="1:14">
      <c r="A112" s="2">
        <v>111</v>
      </c>
      <c r="B112" s="3" t="s">
        <v>255</v>
      </c>
      <c r="C112" s="2">
        <v>8398000</v>
      </c>
      <c r="D112" s="2" t="s">
        <v>566</v>
      </c>
      <c r="E112" s="2" t="s">
        <v>257</v>
      </c>
      <c r="F112" s="6">
        <v>44594.5958796296</v>
      </c>
      <c r="G112" s="3" t="s">
        <v>462</v>
      </c>
      <c r="H112" s="3" t="s">
        <v>567</v>
      </c>
      <c r="I112" s="3" t="s">
        <v>568</v>
      </c>
      <c r="J112" s="2"/>
      <c r="K112" s="7"/>
      <c r="L112" s="2" t="str">
        <f t="shared" si="1"/>
        <v/>
      </c>
      <c r="M112" s="8" t="s">
        <v>261</v>
      </c>
      <c r="N112" s="8"/>
    </row>
    <row r="113" ht="42.75" customHeight="1" spans="1:14">
      <c r="A113" s="2">
        <v>112</v>
      </c>
      <c r="B113" s="3" t="s">
        <v>255</v>
      </c>
      <c r="C113" s="2">
        <v>8398000</v>
      </c>
      <c r="D113" s="2" t="s">
        <v>566</v>
      </c>
      <c r="E113" s="3" t="s">
        <v>262</v>
      </c>
      <c r="F113" s="6">
        <v>44594.622025463</v>
      </c>
      <c r="G113" s="3" t="s">
        <v>454</v>
      </c>
      <c r="H113" s="3" t="s">
        <v>455</v>
      </c>
      <c r="I113" s="3" t="s">
        <v>456</v>
      </c>
      <c r="J113" s="2"/>
      <c r="K113" s="7"/>
      <c r="L113" s="2" t="str">
        <f t="shared" si="1"/>
        <v/>
      </c>
      <c r="M113" s="8" t="s">
        <v>261</v>
      </c>
      <c r="N113" s="8"/>
    </row>
    <row r="114" ht="69" customHeight="1" spans="1:14">
      <c r="A114" s="2">
        <v>113</v>
      </c>
      <c r="B114" s="3" t="s">
        <v>255</v>
      </c>
      <c r="C114" s="2">
        <v>8408724</v>
      </c>
      <c r="D114" s="2" t="s">
        <v>569</v>
      </c>
      <c r="E114" s="2" t="s">
        <v>257</v>
      </c>
      <c r="F114" s="6">
        <v>44644.1594907407</v>
      </c>
      <c r="G114" s="3" t="s">
        <v>462</v>
      </c>
      <c r="H114" s="3" t="s">
        <v>570</v>
      </c>
      <c r="I114" s="3" t="s">
        <v>571</v>
      </c>
      <c r="J114" s="2"/>
      <c r="K114" s="7"/>
      <c r="L114" s="2" t="str">
        <f t="shared" si="1"/>
        <v/>
      </c>
      <c r="M114" s="8" t="s">
        <v>261</v>
      </c>
      <c r="N114" s="8"/>
    </row>
    <row r="115" ht="69" customHeight="1" spans="1:14">
      <c r="A115" s="2">
        <v>114</v>
      </c>
      <c r="B115" s="3" t="s">
        <v>255</v>
      </c>
      <c r="C115" s="2">
        <v>8408724</v>
      </c>
      <c r="D115" s="2" t="s">
        <v>569</v>
      </c>
      <c r="E115" s="2" t="s">
        <v>257</v>
      </c>
      <c r="F115" s="6">
        <v>44644.3953125</v>
      </c>
      <c r="G115" s="3" t="s">
        <v>572</v>
      </c>
      <c r="H115" s="3" t="s">
        <v>573</v>
      </c>
      <c r="I115" s="3" t="s">
        <v>574</v>
      </c>
      <c r="J115" s="2"/>
      <c r="K115" s="7"/>
      <c r="L115" s="2" t="str">
        <f t="shared" si="1"/>
        <v/>
      </c>
      <c r="M115" s="8" t="s">
        <v>261</v>
      </c>
      <c r="N115" s="8"/>
    </row>
    <row r="116" ht="81.75" customHeight="1" spans="1:14">
      <c r="A116" s="2">
        <v>115</v>
      </c>
      <c r="B116" s="3" t="s">
        <v>255</v>
      </c>
      <c r="C116" s="2">
        <v>8465002</v>
      </c>
      <c r="D116" s="2" t="s">
        <v>575</v>
      </c>
      <c r="E116" s="2" t="s">
        <v>257</v>
      </c>
      <c r="F116" s="6">
        <v>44681.2376041667</v>
      </c>
      <c r="G116" s="3" t="s">
        <v>462</v>
      </c>
      <c r="H116" s="3" t="s">
        <v>576</v>
      </c>
      <c r="I116" s="3" t="s">
        <v>577</v>
      </c>
      <c r="J116" s="2"/>
      <c r="K116" s="7"/>
      <c r="L116" s="2" t="str">
        <f t="shared" si="1"/>
        <v/>
      </c>
      <c r="M116" s="8" t="s">
        <v>261</v>
      </c>
      <c r="N116" s="8"/>
    </row>
    <row r="117" ht="108" customHeight="1" spans="1:14">
      <c r="A117" s="2">
        <v>116</v>
      </c>
      <c r="B117" s="3" t="s">
        <v>255</v>
      </c>
      <c r="C117" s="2">
        <v>8497677</v>
      </c>
      <c r="D117" s="2" t="s">
        <v>578</v>
      </c>
      <c r="E117" s="3" t="s">
        <v>272</v>
      </c>
      <c r="F117" s="6">
        <v>44695.3871296296</v>
      </c>
      <c r="G117" s="3" t="s">
        <v>308</v>
      </c>
      <c r="H117" s="3" t="s">
        <v>579</v>
      </c>
      <c r="I117" s="3" t="s">
        <v>580</v>
      </c>
      <c r="J117" s="2"/>
      <c r="K117" s="7"/>
      <c r="L117" s="2" t="str">
        <f t="shared" si="1"/>
        <v/>
      </c>
      <c r="M117" s="8" t="s">
        <v>261</v>
      </c>
      <c r="N117" s="8"/>
    </row>
    <row r="118" ht="55.5" customHeight="1" spans="1:14">
      <c r="A118" s="2">
        <v>117</v>
      </c>
      <c r="B118" s="3" t="s">
        <v>255</v>
      </c>
      <c r="C118" s="2">
        <v>8497677</v>
      </c>
      <c r="D118" s="2" t="s">
        <v>578</v>
      </c>
      <c r="E118" s="2" t="s">
        <v>257</v>
      </c>
      <c r="F118" s="6">
        <v>44695.709525463</v>
      </c>
      <c r="G118" s="3" t="s">
        <v>462</v>
      </c>
      <c r="H118" s="3" t="s">
        <v>581</v>
      </c>
      <c r="I118" s="3" t="s">
        <v>582</v>
      </c>
      <c r="J118" s="2"/>
      <c r="K118" s="7"/>
      <c r="L118" s="2" t="str">
        <f t="shared" si="1"/>
        <v/>
      </c>
      <c r="M118" s="8" t="s">
        <v>261</v>
      </c>
      <c r="N118" s="8"/>
    </row>
    <row r="119" ht="81.75" customHeight="1" spans="1:14">
      <c r="A119" s="2">
        <v>118</v>
      </c>
      <c r="B119" s="3" t="s">
        <v>255</v>
      </c>
      <c r="C119" s="2">
        <v>8673539</v>
      </c>
      <c r="D119" s="2" t="s">
        <v>583</v>
      </c>
      <c r="E119" s="3" t="s">
        <v>262</v>
      </c>
      <c r="F119" s="6">
        <v>44708.684375</v>
      </c>
      <c r="G119" s="3" t="s">
        <v>584</v>
      </c>
      <c r="H119" s="3" t="s">
        <v>585</v>
      </c>
      <c r="I119" s="3" t="s">
        <v>586</v>
      </c>
      <c r="J119" s="2"/>
      <c r="K119" s="7"/>
      <c r="L119" s="2" t="str">
        <f t="shared" si="1"/>
        <v/>
      </c>
      <c r="M119" s="8" t="s">
        <v>261</v>
      </c>
      <c r="N119" s="8"/>
    </row>
    <row r="120" ht="81.75" customHeight="1" spans="1:14">
      <c r="A120" s="2">
        <v>119</v>
      </c>
      <c r="B120" s="3" t="s">
        <v>255</v>
      </c>
      <c r="C120" s="2">
        <v>8673539</v>
      </c>
      <c r="D120" s="2" t="s">
        <v>583</v>
      </c>
      <c r="E120" s="2" t="s">
        <v>257</v>
      </c>
      <c r="F120" s="6">
        <v>44708.7057060185</v>
      </c>
      <c r="G120" s="3" t="s">
        <v>462</v>
      </c>
      <c r="H120" s="3" t="s">
        <v>587</v>
      </c>
      <c r="I120" s="3" t="s">
        <v>588</v>
      </c>
      <c r="J120" s="2"/>
      <c r="K120" s="7"/>
      <c r="L120" s="2" t="str">
        <f t="shared" si="1"/>
        <v/>
      </c>
      <c r="M120" s="8" t="s">
        <v>261</v>
      </c>
      <c r="N120" s="8"/>
    </row>
    <row r="121" ht="42.75" customHeight="1" spans="1:14">
      <c r="A121" s="2">
        <v>120</v>
      </c>
      <c r="B121" s="3" t="s">
        <v>255</v>
      </c>
      <c r="C121" s="2">
        <v>8673539</v>
      </c>
      <c r="D121" s="2" t="s">
        <v>583</v>
      </c>
      <c r="E121" s="3" t="s">
        <v>262</v>
      </c>
      <c r="F121" s="6">
        <v>44708.7214467593</v>
      </c>
      <c r="G121" s="3" t="s">
        <v>454</v>
      </c>
      <c r="H121" s="3" t="s">
        <v>589</v>
      </c>
      <c r="I121" s="3" t="s">
        <v>590</v>
      </c>
      <c r="J121" s="2"/>
      <c r="K121" s="7"/>
      <c r="L121" s="2" t="str">
        <f t="shared" si="1"/>
        <v/>
      </c>
      <c r="M121" s="8" t="s">
        <v>261</v>
      </c>
      <c r="N121" s="8"/>
    </row>
    <row r="122" ht="108" customHeight="1" spans="1:14">
      <c r="A122" s="2">
        <v>121</v>
      </c>
      <c r="B122" s="3" t="s">
        <v>255</v>
      </c>
      <c r="C122" s="2">
        <v>9701918</v>
      </c>
      <c r="D122" s="2" t="s">
        <v>591</v>
      </c>
      <c r="E122" s="3" t="s">
        <v>272</v>
      </c>
      <c r="F122" s="6">
        <v>44844.3746064815</v>
      </c>
      <c r="G122" s="3" t="s">
        <v>592</v>
      </c>
      <c r="H122" s="3" t="s">
        <v>593</v>
      </c>
      <c r="I122" s="3" t="s">
        <v>594</v>
      </c>
      <c r="J122" s="2"/>
      <c r="K122" s="7"/>
      <c r="L122" s="2" t="str">
        <f t="shared" si="1"/>
        <v/>
      </c>
      <c r="M122" s="8" t="s">
        <v>261</v>
      </c>
      <c r="N122" s="8"/>
    </row>
    <row r="123" ht="108" customHeight="1" spans="1:14">
      <c r="A123" s="2">
        <v>122</v>
      </c>
      <c r="B123" s="3" t="s">
        <v>255</v>
      </c>
      <c r="C123" s="2">
        <v>9882297</v>
      </c>
      <c r="D123" s="2" t="s">
        <v>595</v>
      </c>
      <c r="E123" s="3" t="s">
        <v>272</v>
      </c>
      <c r="F123" s="6">
        <v>44839.4041898148</v>
      </c>
      <c r="G123" s="3" t="s">
        <v>592</v>
      </c>
      <c r="H123" s="3" t="s">
        <v>596</v>
      </c>
      <c r="I123" s="3" t="s">
        <v>521</v>
      </c>
      <c r="J123" s="2"/>
      <c r="K123" s="7"/>
      <c r="L123" s="2" t="str">
        <f t="shared" si="1"/>
        <v/>
      </c>
      <c r="M123" s="8" t="s">
        <v>261</v>
      </c>
      <c r="N123" s="8"/>
    </row>
    <row r="124" ht="55.5" customHeight="1" spans="1:14">
      <c r="A124" s="2">
        <v>123</v>
      </c>
      <c r="B124" s="3" t="s">
        <v>255</v>
      </c>
      <c r="C124" s="2">
        <v>9882297</v>
      </c>
      <c r="D124" s="2" t="s">
        <v>595</v>
      </c>
      <c r="E124" s="3" t="s">
        <v>262</v>
      </c>
      <c r="F124" s="6">
        <v>44839.8123148148</v>
      </c>
      <c r="G124" s="3" t="s">
        <v>454</v>
      </c>
      <c r="H124" s="3" t="s">
        <v>597</v>
      </c>
      <c r="I124" s="3" t="s">
        <v>598</v>
      </c>
      <c r="J124" s="2"/>
      <c r="K124" s="7"/>
      <c r="L124" s="2" t="str">
        <f t="shared" si="1"/>
        <v/>
      </c>
      <c r="M124" s="8" t="s">
        <v>261</v>
      </c>
      <c r="N124" s="8"/>
    </row>
    <row r="125" ht="108" customHeight="1" spans="1:14">
      <c r="A125" s="2">
        <v>124</v>
      </c>
      <c r="B125" s="3" t="s">
        <v>255</v>
      </c>
      <c r="C125" s="2">
        <v>10160242</v>
      </c>
      <c r="D125" s="2" t="s">
        <v>599</v>
      </c>
      <c r="E125" s="3" t="s">
        <v>272</v>
      </c>
      <c r="F125" s="6">
        <v>44859.3748726852</v>
      </c>
      <c r="G125" s="3" t="s">
        <v>592</v>
      </c>
      <c r="H125" s="3" t="s">
        <v>600</v>
      </c>
      <c r="I125" s="3" t="s">
        <v>601</v>
      </c>
      <c r="J125" s="2"/>
      <c r="K125" s="7"/>
      <c r="L125" s="2" t="str">
        <f t="shared" si="1"/>
        <v/>
      </c>
      <c r="M125" s="8" t="s">
        <v>261</v>
      </c>
      <c r="N125" s="8"/>
    </row>
    <row r="126" ht="69" customHeight="1" spans="1:14">
      <c r="A126" s="2">
        <v>125</v>
      </c>
      <c r="B126" s="3" t="s">
        <v>255</v>
      </c>
      <c r="C126" s="2">
        <v>10459499</v>
      </c>
      <c r="D126" s="2" t="s">
        <v>602</v>
      </c>
      <c r="E126" s="3" t="s">
        <v>262</v>
      </c>
      <c r="F126" s="6">
        <v>44880.3804861111</v>
      </c>
      <c r="G126" s="3" t="s">
        <v>603</v>
      </c>
      <c r="H126" s="3" t="s">
        <v>604</v>
      </c>
      <c r="I126" s="3" t="s">
        <v>605</v>
      </c>
      <c r="J126" s="2"/>
      <c r="K126" s="7"/>
      <c r="L126" s="2" t="str">
        <f t="shared" si="1"/>
        <v/>
      </c>
      <c r="M126" s="8" t="s">
        <v>261</v>
      </c>
      <c r="N126" s="8"/>
    </row>
    <row r="127" ht="120.75" customHeight="1" spans="1:14">
      <c r="A127" s="2">
        <v>126</v>
      </c>
      <c r="B127" s="3" t="s">
        <v>255</v>
      </c>
      <c r="C127" s="2">
        <v>10459499</v>
      </c>
      <c r="D127" s="2" t="s">
        <v>602</v>
      </c>
      <c r="E127" s="3" t="s">
        <v>272</v>
      </c>
      <c r="F127" s="6">
        <v>44880.3910185185</v>
      </c>
      <c r="G127" s="3" t="s">
        <v>592</v>
      </c>
      <c r="H127" s="3" t="s">
        <v>606</v>
      </c>
      <c r="I127" s="3" t="s">
        <v>607</v>
      </c>
      <c r="J127" s="2"/>
      <c r="K127" s="7"/>
      <c r="L127" s="2" t="str">
        <f t="shared" si="1"/>
        <v/>
      </c>
      <c r="M127" s="8" t="s">
        <v>261</v>
      </c>
      <c r="N127" s="8"/>
    </row>
    <row r="128" ht="94.5" customHeight="1" spans="1:14">
      <c r="A128" s="2">
        <v>127</v>
      </c>
      <c r="B128" s="3" t="s">
        <v>255</v>
      </c>
      <c r="C128" s="2">
        <v>10459499</v>
      </c>
      <c r="D128" s="2" t="s">
        <v>602</v>
      </c>
      <c r="E128" s="2" t="s">
        <v>257</v>
      </c>
      <c r="F128" s="6">
        <v>44880.6886689815</v>
      </c>
      <c r="G128" s="3" t="s">
        <v>462</v>
      </c>
      <c r="H128" s="3" t="s">
        <v>608</v>
      </c>
      <c r="I128" s="2" t="s">
        <v>609</v>
      </c>
      <c r="J128" s="2"/>
      <c r="K128" s="7"/>
      <c r="L128" s="2" t="str">
        <f t="shared" si="1"/>
        <v/>
      </c>
      <c r="M128" s="8" t="s">
        <v>261</v>
      </c>
      <c r="N128" s="8"/>
    </row>
    <row r="129" ht="94.5" customHeight="1" spans="1:14">
      <c r="A129" s="2">
        <v>128</v>
      </c>
      <c r="B129" s="3" t="s">
        <v>255</v>
      </c>
      <c r="C129" s="2">
        <v>10714809</v>
      </c>
      <c r="D129" s="2" t="s">
        <v>610</v>
      </c>
      <c r="E129" s="2" t="s">
        <v>257</v>
      </c>
      <c r="F129" s="6">
        <v>45352.0345486111</v>
      </c>
      <c r="G129" s="3" t="s">
        <v>611</v>
      </c>
      <c r="H129" s="3" t="s">
        <v>612</v>
      </c>
      <c r="I129" s="2" t="s">
        <v>613</v>
      </c>
      <c r="J129" s="2"/>
      <c r="K129" s="7"/>
      <c r="L129" s="2" t="str">
        <f t="shared" si="1"/>
        <v/>
      </c>
      <c r="M129" s="8" t="s">
        <v>261</v>
      </c>
      <c r="N129" s="8"/>
    </row>
    <row r="130" ht="81.75" customHeight="1" spans="1:14">
      <c r="A130" s="2">
        <v>129</v>
      </c>
      <c r="B130" s="3" t="s">
        <v>255</v>
      </c>
      <c r="C130" s="2">
        <v>10714809</v>
      </c>
      <c r="D130" s="2" t="s">
        <v>610</v>
      </c>
      <c r="E130" s="3" t="s">
        <v>262</v>
      </c>
      <c r="F130" s="6">
        <v>45352.0785300926</v>
      </c>
      <c r="G130" s="3" t="s">
        <v>584</v>
      </c>
      <c r="H130" s="3" t="s">
        <v>614</v>
      </c>
      <c r="I130" s="3" t="s">
        <v>615</v>
      </c>
      <c r="J130" s="2"/>
      <c r="K130" s="7"/>
      <c r="L130" s="2" t="str">
        <f t="shared" ref="L130:L155" si="2">IF(K130="","",IF(MOD(F130,1)&lt;K130,"术前","术后"))</f>
        <v/>
      </c>
      <c r="M130" s="8" t="s">
        <v>261</v>
      </c>
      <c r="N130" s="8"/>
    </row>
    <row r="131" ht="94.5" customHeight="1" spans="1:14">
      <c r="A131" s="2">
        <v>130</v>
      </c>
      <c r="B131" s="3" t="s">
        <v>255</v>
      </c>
      <c r="C131" s="2">
        <v>10714809</v>
      </c>
      <c r="D131" s="2" t="s">
        <v>610</v>
      </c>
      <c r="E131" s="3" t="s">
        <v>262</v>
      </c>
      <c r="F131" s="6">
        <v>45352.1584722222</v>
      </c>
      <c r="G131" s="3" t="s">
        <v>584</v>
      </c>
      <c r="H131" s="3" t="s">
        <v>616</v>
      </c>
      <c r="I131" s="3" t="s">
        <v>617</v>
      </c>
      <c r="J131" s="2"/>
      <c r="K131" s="7"/>
      <c r="L131" s="2" t="str">
        <f t="shared" si="2"/>
        <v/>
      </c>
      <c r="M131" s="8" t="s">
        <v>261</v>
      </c>
      <c r="N131" s="8"/>
    </row>
    <row r="132" ht="81.75" customHeight="1" spans="1:14">
      <c r="A132" s="2">
        <v>131</v>
      </c>
      <c r="B132" s="3" t="s">
        <v>255</v>
      </c>
      <c r="C132" s="2">
        <v>10714809</v>
      </c>
      <c r="D132" s="2" t="s">
        <v>610</v>
      </c>
      <c r="E132" s="3" t="s">
        <v>262</v>
      </c>
      <c r="F132" s="6">
        <v>45352.3884837963</v>
      </c>
      <c r="G132" s="3" t="s">
        <v>584</v>
      </c>
      <c r="H132" s="3" t="s">
        <v>618</v>
      </c>
      <c r="I132" s="3" t="s">
        <v>619</v>
      </c>
      <c r="J132" s="2"/>
      <c r="K132" s="7"/>
      <c r="L132" s="2" t="str">
        <f t="shared" si="2"/>
        <v/>
      </c>
      <c r="M132" s="8" t="s">
        <v>261</v>
      </c>
      <c r="N132" s="8"/>
    </row>
    <row r="133" ht="133.5" customHeight="1" spans="1:14">
      <c r="A133" s="2">
        <v>132</v>
      </c>
      <c r="B133" s="3" t="s">
        <v>255</v>
      </c>
      <c r="C133" s="2">
        <v>10714809</v>
      </c>
      <c r="D133" s="2" t="s">
        <v>610</v>
      </c>
      <c r="E133" s="2" t="s">
        <v>257</v>
      </c>
      <c r="F133" s="6">
        <v>45352.4348611111</v>
      </c>
      <c r="G133" s="3" t="s">
        <v>572</v>
      </c>
      <c r="H133" s="3" t="s">
        <v>620</v>
      </c>
      <c r="I133" s="2" t="s">
        <v>621</v>
      </c>
      <c r="J133" s="2"/>
      <c r="K133" s="7"/>
      <c r="L133" s="2" t="str">
        <f t="shared" si="2"/>
        <v/>
      </c>
      <c r="M133" s="8" t="s">
        <v>261</v>
      </c>
      <c r="N133" s="8"/>
    </row>
    <row r="134" ht="120.75" customHeight="1" spans="1:14">
      <c r="A134" s="2">
        <v>133</v>
      </c>
      <c r="B134" s="3" t="s">
        <v>255</v>
      </c>
      <c r="C134" s="2">
        <v>11907542</v>
      </c>
      <c r="D134" s="2" t="s">
        <v>622</v>
      </c>
      <c r="E134" s="3" t="s">
        <v>272</v>
      </c>
      <c r="F134" s="6">
        <v>45021.3818055556</v>
      </c>
      <c r="G134" s="3" t="s">
        <v>592</v>
      </c>
      <c r="H134" s="3" t="s">
        <v>623</v>
      </c>
      <c r="I134" s="3" t="s">
        <v>624</v>
      </c>
      <c r="J134" s="2"/>
      <c r="K134" s="7"/>
      <c r="L134" s="2" t="str">
        <f t="shared" si="2"/>
        <v/>
      </c>
      <c r="M134" s="8" t="s">
        <v>261</v>
      </c>
      <c r="N134" s="8"/>
    </row>
    <row r="135" ht="120.75" customHeight="1" spans="1:14">
      <c r="A135" s="2">
        <v>134</v>
      </c>
      <c r="B135" s="3" t="s">
        <v>255</v>
      </c>
      <c r="C135" s="2">
        <v>17266344</v>
      </c>
      <c r="D135" s="2" t="s">
        <v>625</v>
      </c>
      <c r="E135" s="2" t="s">
        <v>257</v>
      </c>
      <c r="F135" s="6">
        <v>45208.0584259259</v>
      </c>
      <c r="G135" s="3" t="s">
        <v>611</v>
      </c>
      <c r="H135" s="3" t="s">
        <v>626</v>
      </c>
      <c r="I135" s="3" t="s">
        <v>627</v>
      </c>
      <c r="J135" s="2"/>
      <c r="K135" s="7"/>
      <c r="L135" s="2" t="str">
        <f t="shared" si="2"/>
        <v/>
      </c>
      <c r="M135" s="8" t="s">
        <v>261</v>
      </c>
      <c r="N135" s="8"/>
    </row>
    <row r="136" ht="120.75" customHeight="1" spans="1:14">
      <c r="A136" s="2">
        <v>135</v>
      </c>
      <c r="B136" s="3" t="s">
        <v>255</v>
      </c>
      <c r="C136" s="2">
        <v>17560600</v>
      </c>
      <c r="D136" s="2" t="s">
        <v>628</v>
      </c>
      <c r="E136" s="2" t="s">
        <v>257</v>
      </c>
      <c r="F136" s="6">
        <v>45216.515474537</v>
      </c>
      <c r="G136" s="3" t="s">
        <v>462</v>
      </c>
      <c r="H136" s="3" t="s">
        <v>629</v>
      </c>
      <c r="I136" s="3" t="s">
        <v>630</v>
      </c>
      <c r="J136" s="2"/>
      <c r="K136" s="7"/>
      <c r="L136" s="2" t="str">
        <f t="shared" si="2"/>
        <v/>
      </c>
      <c r="M136" s="8" t="s">
        <v>261</v>
      </c>
      <c r="N136" s="8"/>
    </row>
    <row r="137" ht="94.5" customHeight="1" spans="1:14">
      <c r="A137" s="2">
        <v>136</v>
      </c>
      <c r="B137" s="3" t="s">
        <v>255</v>
      </c>
      <c r="C137" s="2">
        <v>18815691</v>
      </c>
      <c r="D137" s="2" t="s">
        <v>233</v>
      </c>
      <c r="E137" s="3" t="s">
        <v>272</v>
      </c>
      <c r="F137" s="6">
        <v>45260.385474537</v>
      </c>
      <c r="G137" s="3" t="s">
        <v>308</v>
      </c>
      <c r="H137" s="3" t="s">
        <v>631</v>
      </c>
      <c r="I137" s="3" t="s">
        <v>632</v>
      </c>
      <c r="J137" s="2"/>
      <c r="K137" s="7"/>
      <c r="L137" s="2" t="str">
        <f t="shared" si="2"/>
        <v/>
      </c>
      <c r="M137" s="8" t="s">
        <v>261</v>
      </c>
      <c r="N137" s="8"/>
    </row>
    <row r="138" ht="120.75" customHeight="1" spans="1:14">
      <c r="A138" s="2">
        <v>137</v>
      </c>
      <c r="B138" s="3" t="s">
        <v>255</v>
      </c>
      <c r="C138" s="2">
        <v>25551275</v>
      </c>
      <c r="D138" s="2" t="s">
        <v>633</v>
      </c>
      <c r="E138" s="2" t="s">
        <v>257</v>
      </c>
      <c r="F138" s="6">
        <v>45375.9235532407</v>
      </c>
      <c r="G138" s="3" t="s">
        <v>462</v>
      </c>
      <c r="H138" s="3" t="s">
        <v>634</v>
      </c>
      <c r="I138" s="3" t="s">
        <v>635</v>
      </c>
      <c r="J138" s="2"/>
      <c r="K138" s="7"/>
      <c r="L138" s="2" t="str">
        <f t="shared" si="2"/>
        <v/>
      </c>
      <c r="M138" s="8" t="s">
        <v>261</v>
      </c>
      <c r="N138" s="8"/>
    </row>
    <row r="139" ht="42.75" customHeight="1" spans="1:14">
      <c r="A139" s="2">
        <v>138</v>
      </c>
      <c r="B139" s="3" t="s">
        <v>255</v>
      </c>
      <c r="C139" s="2">
        <v>26699416</v>
      </c>
      <c r="D139" s="2" t="s">
        <v>636</v>
      </c>
      <c r="E139" s="3" t="s">
        <v>262</v>
      </c>
      <c r="F139" s="6">
        <v>45385.4076388889</v>
      </c>
      <c r="G139" s="3" t="s">
        <v>454</v>
      </c>
      <c r="H139" s="3" t="s">
        <v>455</v>
      </c>
      <c r="I139" s="3" t="s">
        <v>456</v>
      </c>
      <c r="J139" s="2"/>
      <c r="K139" s="7"/>
      <c r="L139" s="2" t="str">
        <f t="shared" si="2"/>
        <v/>
      </c>
      <c r="M139" s="8" t="s">
        <v>261</v>
      </c>
      <c r="N139" s="8"/>
    </row>
    <row r="140" ht="94.5" customHeight="1" spans="1:14">
      <c r="A140" s="2">
        <v>139</v>
      </c>
      <c r="B140" s="3" t="s">
        <v>255</v>
      </c>
      <c r="C140" s="2">
        <v>35686325</v>
      </c>
      <c r="D140" s="2" t="s">
        <v>637</v>
      </c>
      <c r="E140" s="2" t="s">
        <v>257</v>
      </c>
      <c r="F140" s="6">
        <v>45522.549224537</v>
      </c>
      <c r="G140" s="3" t="s">
        <v>462</v>
      </c>
      <c r="H140" s="3" t="s">
        <v>638</v>
      </c>
      <c r="I140" s="3" t="s">
        <v>639</v>
      </c>
      <c r="J140" s="2"/>
      <c r="K140" s="7"/>
      <c r="L140" s="2" t="str">
        <f t="shared" si="2"/>
        <v/>
      </c>
      <c r="M140" s="8" t="s">
        <v>261</v>
      </c>
      <c r="N140" s="8"/>
    </row>
    <row r="141" ht="159.75" customHeight="1" spans="1:14">
      <c r="A141" s="2">
        <v>140</v>
      </c>
      <c r="B141" s="3" t="s">
        <v>255</v>
      </c>
      <c r="C141" s="2">
        <v>35724137</v>
      </c>
      <c r="D141" s="2" t="s">
        <v>214</v>
      </c>
      <c r="E141" s="3" t="s">
        <v>262</v>
      </c>
      <c r="F141" s="6">
        <v>45534.6669560185</v>
      </c>
      <c r="G141" s="3" t="s">
        <v>640</v>
      </c>
      <c r="H141" s="3" t="s">
        <v>641</v>
      </c>
      <c r="I141" s="3" t="s">
        <v>642</v>
      </c>
      <c r="J141" s="2"/>
      <c r="K141" s="7"/>
      <c r="L141" s="2" t="str">
        <f t="shared" si="2"/>
        <v/>
      </c>
      <c r="M141" s="8" t="s">
        <v>261</v>
      </c>
      <c r="N141" s="8"/>
    </row>
    <row r="142" ht="81.75" customHeight="1" spans="1:14">
      <c r="A142" s="2">
        <v>141</v>
      </c>
      <c r="B142" s="3" t="s">
        <v>255</v>
      </c>
      <c r="C142" s="2">
        <v>35726912</v>
      </c>
      <c r="D142" s="2" t="s">
        <v>643</v>
      </c>
      <c r="E142" s="2" t="s">
        <v>257</v>
      </c>
      <c r="F142" s="6">
        <v>45538.7947222222</v>
      </c>
      <c r="G142" s="3" t="s">
        <v>462</v>
      </c>
      <c r="H142" s="3" t="s">
        <v>644</v>
      </c>
      <c r="I142" s="3" t="s">
        <v>645</v>
      </c>
      <c r="J142" s="2"/>
      <c r="K142" s="7"/>
      <c r="L142" s="2" t="str">
        <f t="shared" si="2"/>
        <v/>
      </c>
      <c r="M142" s="8" t="s">
        <v>261</v>
      </c>
      <c r="N142" s="8"/>
    </row>
    <row r="143" ht="69" customHeight="1" spans="1:14">
      <c r="A143" s="2">
        <v>142</v>
      </c>
      <c r="B143" s="3" t="s">
        <v>255</v>
      </c>
      <c r="C143" s="2">
        <v>35726912</v>
      </c>
      <c r="D143" s="2" t="s">
        <v>643</v>
      </c>
      <c r="E143" s="3" t="s">
        <v>262</v>
      </c>
      <c r="F143" s="6">
        <v>45538.8477893519</v>
      </c>
      <c r="G143" s="3" t="s">
        <v>454</v>
      </c>
      <c r="H143" s="3" t="s">
        <v>646</v>
      </c>
      <c r="I143" s="3" t="s">
        <v>647</v>
      </c>
      <c r="J143" s="2"/>
      <c r="K143" s="7"/>
      <c r="L143" s="2" t="str">
        <f t="shared" si="2"/>
        <v/>
      </c>
      <c r="M143" s="8" t="s">
        <v>261</v>
      </c>
      <c r="N143" s="8"/>
    </row>
    <row r="144" ht="94.5" customHeight="1" spans="1:14">
      <c r="A144" s="2">
        <v>143</v>
      </c>
      <c r="B144" s="3" t="s">
        <v>255</v>
      </c>
      <c r="C144" s="2">
        <v>35788013</v>
      </c>
      <c r="D144" s="2" t="s">
        <v>648</v>
      </c>
      <c r="E144" s="2" t="s">
        <v>257</v>
      </c>
      <c r="F144" s="6">
        <v>45606.8468402778</v>
      </c>
      <c r="G144" s="3" t="s">
        <v>462</v>
      </c>
      <c r="H144" s="3" t="s">
        <v>649</v>
      </c>
      <c r="I144" s="3" t="s">
        <v>650</v>
      </c>
      <c r="J144" s="2"/>
      <c r="K144" s="7"/>
      <c r="L144" s="2" t="str">
        <f t="shared" si="2"/>
        <v/>
      </c>
      <c r="M144" s="8" t="s">
        <v>261</v>
      </c>
      <c r="N144" s="8"/>
    </row>
    <row r="145" ht="94.5" customHeight="1" spans="1:14">
      <c r="A145" s="2">
        <v>144</v>
      </c>
      <c r="B145" s="3" t="s">
        <v>255</v>
      </c>
      <c r="C145" s="2">
        <v>35801169</v>
      </c>
      <c r="D145" s="2" t="s">
        <v>651</v>
      </c>
      <c r="E145" s="2" t="s">
        <v>257</v>
      </c>
      <c r="F145" s="6">
        <v>45625.2051851852</v>
      </c>
      <c r="G145" s="3" t="s">
        <v>462</v>
      </c>
      <c r="H145" s="3" t="s">
        <v>652</v>
      </c>
      <c r="I145" s="3" t="s">
        <v>653</v>
      </c>
      <c r="J145" s="2"/>
      <c r="K145" s="7"/>
      <c r="L145" s="2" t="str">
        <f t="shared" si="2"/>
        <v/>
      </c>
      <c r="M145" s="8" t="s">
        <v>261</v>
      </c>
      <c r="N145" s="8"/>
    </row>
    <row r="146" ht="186" customHeight="1" spans="1:14">
      <c r="A146" s="2">
        <v>145</v>
      </c>
      <c r="B146" s="3" t="s">
        <v>255</v>
      </c>
      <c r="C146" s="2">
        <v>35852824</v>
      </c>
      <c r="D146" s="2" t="s">
        <v>654</v>
      </c>
      <c r="E146" s="2" t="s">
        <v>257</v>
      </c>
      <c r="F146" s="6">
        <v>45683.6436226852</v>
      </c>
      <c r="G146" s="3" t="s">
        <v>475</v>
      </c>
      <c r="H146" s="3" t="s">
        <v>655</v>
      </c>
      <c r="I146" s="3" t="s">
        <v>656</v>
      </c>
      <c r="J146" s="2"/>
      <c r="K146" s="7"/>
      <c r="L146" s="2" t="str">
        <f t="shared" si="2"/>
        <v/>
      </c>
      <c r="M146" s="8" t="s">
        <v>261</v>
      </c>
      <c r="N146" s="8"/>
    </row>
    <row r="147" ht="108" customHeight="1" spans="1:14">
      <c r="A147" s="2">
        <v>146</v>
      </c>
      <c r="B147" s="3" t="s">
        <v>255</v>
      </c>
      <c r="C147" s="2">
        <v>35883147</v>
      </c>
      <c r="D147" s="2" t="s">
        <v>657</v>
      </c>
      <c r="E147" s="2" t="s">
        <v>257</v>
      </c>
      <c r="F147" s="6">
        <v>45722.1868171296</v>
      </c>
      <c r="G147" s="3" t="s">
        <v>611</v>
      </c>
      <c r="H147" s="3" t="s">
        <v>658</v>
      </c>
      <c r="I147" s="3" t="s">
        <v>659</v>
      </c>
      <c r="J147" s="2"/>
      <c r="K147" s="7"/>
      <c r="L147" s="2" t="str">
        <f t="shared" si="2"/>
        <v/>
      </c>
      <c r="M147" s="8" t="s">
        <v>261</v>
      </c>
      <c r="N147" s="8"/>
    </row>
    <row r="148" ht="81.75" customHeight="1" spans="1:14">
      <c r="A148" s="2">
        <v>147</v>
      </c>
      <c r="B148" s="3" t="s">
        <v>255</v>
      </c>
      <c r="C148" s="2">
        <v>35883147</v>
      </c>
      <c r="D148" s="2" t="s">
        <v>657</v>
      </c>
      <c r="E148" s="3" t="s">
        <v>262</v>
      </c>
      <c r="F148" s="6">
        <v>45722.2079398148</v>
      </c>
      <c r="G148" s="3" t="s">
        <v>454</v>
      </c>
      <c r="H148" s="3" t="s">
        <v>660</v>
      </c>
      <c r="I148" s="3" t="s">
        <v>461</v>
      </c>
      <c r="J148" s="2"/>
      <c r="K148" s="7"/>
      <c r="L148" s="2" t="str">
        <f t="shared" si="2"/>
        <v/>
      </c>
      <c r="M148" s="8" t="s">
        <v>261</v>
      </c>
      <c r="N148" s="8"/>
    </row>
    <row r="149" ht="108" customHeight="1" spans="1:14">
      <c r="A149" s="2">
        <v>148</v>
      </c>
      <c r="B149" s="3" t="s">
        <v>255</v>
      </c>
      <c r="C149" s="2">
        <v>35883147</v>
      </c>
      <c r="D149" s="2" t="s">
        <v>657</v>
      </c>
      <c r="E149" s="3" t="s">
        <v>272</v>
      </c>
      <c r="F149" s="6">
        <v>45722.3905092593</v>
      </c>
      <c r="G149" s="3" t="s">
        <v>308</v>
      </c>
      <c r="H149" s="3" t="s">
        <v>661</v>
      </c>
      <c r="I149" s="3" t="s">
        <v>662</v>
      </c>
      <c r="J149" s="2"/>
      <c r="K149" s="7"/>
      <c r="L149" s="2" t="str">
        <f t="shared" si="2"/>
        <v/>
      </c>
      <c r="M149" s="8" t="s">
        <v>261</v>
      </c>
      <c r="N149" s="8"/>
    </row>
    <row r="150" ht="120.75" customHeight="1" spans="1:14">
      <c r="A150" s="2">
        <v>149</v>
      </c>
      <c r="B150" s="3" t="s">
        <v>255</v>
      </c>
      <c r="C150" s="2">
        <v>36002892</v>
      </c>
      <c r="D150" s="2" t="s">
        <v>663</v>
      </c>
      <c r="E150" s="3" t="s">
        <v>272</v>
      </c>
      <c r="F150" s="6">
        <v>45845.4050231482</v>
      </c>
      <c r="G150" s="3" t="s">
        <v>308</v>
      </c>
      <c r="H150" s="3" t="s">
        <v>664</v>
      </c>
      <c r="I150" s="3" t="s">
        <v>665</v>
      </c>
      <c r="J150" s="2"/>
      <c r="K150" s="7"/>
      <c r="L150" s="2" t="str">
        <f t="shared" si="2"/>
        <v/>
      </c>
      <c r="M150" s="8" t="s">
        <v>261</v>
      </c>
      <c r="N150" s="8"/>
    </row>
    <row r="151" ht="211.5" customHeight="1" spans="1:14">
      <c r="A151" s="2">
        <v>150</v>
      </c>
      <c r="B151" s="3" t="s">
        <v>255</v>
      </c>
      <c r="C151" s="2">
        <v>36077144</v>
      </c>
      <c r="D151" s="2" t="s">
        <v>666</v>
      </c>
      <c r="E151" s="3" t="s">
        <v>262</v>
      </c>
      <c r="F151" s="6">
        <v>45930.6914236111</v>
      </c>
      <c r="G151" s="3" t="s">
        <v>667</v>
      </c>
      <c r="H151" s="3" t="s">
        <v>668</v>
      </c>
      <c r="I151" s="3" t="s">
        <v>669</v>
      </c>
      <c r="J151" s="2"/>
      <c r="K151" s="7"/>
      <c r="L151" s="2" t="str">
        <f t="shared" si="2"/>
        <v/>
      </c>
      <c r="M151" s="8" t="s">
        <v>261</v>
      </c>
      <c r="N151" s="8"/>
    </row>
    <row r="152" ht="81.75" customHeight="1" spans="1:14">
      <c r="A152" s="2">
        <v>151</v>
      </c>
      <c r="B152" s="3" t="s">
        <v>255</v>
      </c>
      <c r="C152" s="2">
        <v>36142733</v>
      </c>
      <c r="D152" s="2" t="s">
        <v>670</v>
      </c>
      <c r="E152" s="3" t="s">
        <v>272</v>
      </c>
      <c r="F152" s="6">
        <v>45973.3813194444</v>
      </c>
      <c r="G152" s="3" t="s">
        <v>592</v>
      </c>
      <c r="H152" s="3" t="s">
        <v>671</v>
      </c>
      <c r="I152" s="3" t="s">
        <v>672</v>
      </c>
      <c r="J152" s="2"/>
      <c r="K152" s="7"/>
      <c r="L152" s="2" t="str">
        <f t="shared" si="2"/>
        <v/>
      </c>
      <c r="M152" s="8" t="s">
        <v>261</v>
      </c>
      <c r="N152" s="8"/>
    </row>
    <row r="153" ht="94.5" customHeight="1" spans="1:14">
      <c r="A153" s="2">
        <v>152</v>
      </c>
      <c r="B153" s="3" t="s">
        <v>255</v>
      </c>
      <c r="C153" s="2">
        <v>36212182</v>
      </c>
      <c r="D153" s="2" t="s">
        <v>673</v>
      </c>
      <c r="E153" s="3" t="s">
        <v>272</v>
      </c>
      <c r="F153" s="6">
        <v>46058.3802546296</v>
      </c>
      <c r="G153" s="3" t="s">
        <v>592</v>
      </c>
      <c r="H153" s="3" t="s">
        <v>674</v>
      </c>
      <c r="I153" s="3" t="s">
        <v>675</v>
      </c>
      <c r="J153" s="2"/>
      <c r="K153" s="7"/>
      <c r="L153" s="2" t="str">
        <f t="shared" si="2"/>
        <v/>
      </c>
      <c r="M153" s="8" t="s">
        <v>261</v>
      </c>
      <c r="N153" s="8"/>
    </row>
    <row r="154" ht="120.75" customHeight="1" spans="1:14">
      <c r="A154" s="2">
        <v>153</v>
      </c>
      <c r="B154" s="3" t="s">
        <v>255</v>
      </c>
      <c r="C154" s="2">
        <v>36279025</v>
      </c>
      <c r="D154" s="2" t="s">
        <v>676</v>
      </c>
      <c r="E154" s="3" t="s">
        <v>272</v>
      </c>
      <c r="F154" s="6">
        <v>46134.3735532407</v>
      </c>
      <c r="G154" s="3" t="s">
        <v>592</v>
      </c>
      <c r="H154" s="3" t="s">
        <v>677</v>
      </c>
      <c r="I154" s="3" t="s">
        <v>678</v>
      </c>
      <c r="J154" s="2"/>
      <c r="K154" s="7"/>
      <c r="L154" s="2" t="str">
        <f t="shared" si="2"/>
        <v/>
      </c>
      <c r="M154" s="8" t="s">
        <v>261</v>
      </c>
      <c r="N154" s="8"/>
    </row>
    <row r="155" ht="172.5" customHeight="1" spans="1:14">
      <c r="A155" s="2">
        <v>154</v>
      </c>
      <c r="B155" s="3" t="s">
        <v>255</v>
      </c>
      <c r="C155" s="2">
        <v>36321499</v>
      </c>
      <c r="D155" s="2" t="s">
        <v>679</v>
      </c>
      <c r="E155" s="3" t="s">
        <v>262</v>
      </c>
      <c r="F155" s="6">
        <v>46175.3812731481</v>
      </c>
      <c r="G155" s="3" t="s">
        <v>680</v>
      </c>
      <c r="H155" s="3" t="s">
        <v>681</v>
      </c>
      <c r="I155" s="3" t="s">
        <v>682</v>
      </c>
      <c r="J155" s="2"/>
      <c r="K155" s="7"/>
      <c r="L155" s="2" t="str">
        <f t="shared" si="2"/>
        <v/>
      </c>
      <c r="M155" s="8" t="s">
        <v>261</v>
      </c>
      <c r="N155" s="8"/>
    </row>
    <row r="156" ht="81.75" customHeight="1" spans="1:14">
      <c r="A156" s="2">
        <v>155</v>
      </c>
      <c r="B156" s="3" t="s">
        <v>683</v>
      </c>
      <c r="C156" s="2">
        <v>8696516</v>
      </c>
      <c r="D156" s="2" t="s">
        <v>684</v>
      </c>
      <c r="E156" s="3" t="s">
        <v>272</v>
      </c>
      <c r="F156" s="6">
        <v>45345.378587963</v>
      </c>
      <c r="G156" s="3" t="s">
        <v>308</v>
      </c>
      <c r="H156" s="3" t="s">
        <v>685</v>
      </c>
      <c r="I156" s="2" t="s">
        <v>686</v>
      </c>
      <c r="J156" s="9" t="s">
        <v>687</v>
      </c>
      <c r="K156" s="7"/>
      <c r="L156" s="3" t="s">
        <v>688</v>
      </c>
      <c r="M156" s="8" t="s">
        <v>689</v>
      </c>
      <c r="N156" s="8"/>
    </row>
    <row r="157" ht="69" customHeight="1" spans="1:14">
      <c r="A157" s="2">
        <v>156</v>
      </c>
      <c r="B157" s="3" t="s">
        <v>690</v>
      </c>
      <c r="C157" s="2">
        <v>2171345</v>
      </c>
      <c r="D157" s="2" t="s">
        <v>691</v>
      </c>
      <c r="E157" s="3" t="s">
        <v>272</v>
      </c>
      <c r="F157" s="6">
        <v>42380.4310416667</v>
      </c>
      <c r="G157" s="2" t="s">
        <v>415</v>
      </c>
      <c r="H157" s="3" t="s">
        <v>692</v>
      </c>
      <c r="I157" s="3" t="s">
        <v>693</v>
      </c>
      <c r="J157" s="9" t="s">
        <v>687</v>
      </c>
      <c r="K157" s="7"/>
      <c r="L157" s="3" t="s">
        <v>688</v>
      </c>
      <c r="M157" s="8" t="s">
        <v>694</v>
      </c>
      <c r="N157" s="8"/>
    </row>
    <row r="158" ht="69" customHeight="1" spans="1:14">
      <c r="A158" s="2">
        <v>157</v>
      </c>
      <c r="B158" s="3" t="s">
        <v>695</v>
      </c>
      <c r="C158" s="2">
        <v>1921641</v>
      </c>
      <c r="D158" s="2" t="s">
        <v>696</v>
      </c>
      <c r="E158" s="2" t="s">
        <v>257</v>
      </c>
      <c r="F158" s="6">
        <v>42309.9577777778</v>
      </c>
      <c r="G158" s="3" t="s">
        <v>266</v>
      </c>
      <c r="H158" s="3" t="s">
        <v>697</v>
      </c>
      <c r="I158" s="3" t="s">
        <v>698</v>
      </c>
      <c r="J158" s="9" t="s">
        <v>687</v>
      </c>
      <c r="K158" s="7"/>
      <c r="L158" s="3" t="s">
        <v>688</v>
      </c>
      <c r="M158" s="8" t="s">
        <v>694</v>
      </c>
      <c r="N158" s="8"/>
    </row>
    <row r="159" ht="108" customHeight="1" spans="1:14">
      <c r="A159" s="2">
        <v>158</v>
      </c>
      <c r="B159" s="3" t="s">
        <v>695</v>
      </c>
      <c r="C159" s="2">
        <v>4921963</v>
      </c>
      <c r="D159" s="2" t="s">
        <v>699</v>
      </c>
      <c r="E159" s="3" t="s">
        <v>272</v>
      </c>
      <c r="F159" s="6">
        <v>44138.3988194445</v>
      </c>
      <c r="G159" s="3" t="s">
        <v>308</v>
      </c>
      <c r="H159" s="3" t="s">
        <v>700</v>
      </c>
      <c r="I159" s="2" t="s">
        <v>701</v>
      </c>
      <c r="J159" s="9" t="s">
        <v>687</v>
      </c>
      <c r="K159" s="7"/>
      <c r="L159" s="3" t="s">
        <v>688</v>
      </c>
      <c r="M159" s="8" t="s">
        <v>694</v>
      </c>
      <c r="N159" s="8"/>
    </row>
    <row r="160" ht="147" customHeight="1" spans="1:14">
      <c r="A160" s="2">
        <v>159</v>
      </c>
      <c r="B160" s="3" t="s">
        <v>702</v>
      </c>
      <c r="C160" s="2">
        <v>96146</v>
      </c>
      <c r="D160" s="2" t="s">
        <v>703</v>
      </c>
      <c r="E160" s="3" t="s">
        <v>262</v>
      </c>
      <c r="F160" s="6">
        <v>43481.5433217593</v>
      </c>
      <c r="G160" s="3" t="s">
        <v>704</v>
      </c>
      <c r="H160" s="3" t="s">
        <v>705</v>
      </c>
      <c r="I160" s="3" t="s">
        <v>706</v>
      </c>
      <c r="J160" s="9" t="s">
        <v>687</v>
      </c>
      <c r="K160" s="7"/>
      <c r="L160" s="3" t="s">
        <v>688</v>
      </c>
      <c r="M160" s="8" t="s">
        <v>694</v>
      </c>
      <c r="N160" s="8"/>
    </row>
    <row r="161" ht="81.75" customHeight="1" spans="1:14">
      <c r="A161" s="2">
        <v>160</v>
      </c>
      <c r="B161" s="3" t="s">
        <v>707</v>
      </c>
      <c r="C161" s="2">
        <v>2171345</v>
      </c>
      <c r="D161" s="2" t="s">
        <v>691</v>
      </c>
      <c r="E161" s="2" t="s">
        <v>257</v>
      </c>
      <c r="F161" s="6">
        <v>42384.3866319444</v>
      </c>
      <c r="G161" s="3" t="s">
        <v>708</v>
      </c>
      <c r="H161" s="3" t="s">
        <v>709</v>
      </c>
      <c r="I161" s="3" t="s">
        <v>710</v>
      </c>
      <c r="J161" s="9" t="s">
        <v>687</v>
      </c>
      <c r="K161" s="7"/>
      <c r="L161" s="3" t="s">
        <v>688</v>
      </c>
      <c r="M161" s="8" t="s">
        <v>694</v>
      </c>
      <c r="N161" s="8"/>
    </row>
    <row r="162" ht="108" customHeight="1" spans="1:14">
      <c r="A162" s="2">
        <v>161</v>
      </c>
      <c r="B162" s="3" t="s">
        <v>711</v>
      </c>
      <c r="C162" s="2">
        <v>2892619</v>
      </c>
      <c r="D162" s="2" t="s">
        <v>712</v>
      </c>
      <c r="E162" s="3" t="s">
        <v>272</v>
      </c>
      <c r="F162" s="6">
        <v>41723.3939236111</v>
      </c>
      <c r="G162" s="2" t="s">
        <v>273</v>
      </c>
      <c r="H162" s="3" t="s">
        <v>713</v>
      </c>
      <c r="I162" s="3" t="s">
        <v>714</v>
      </c>
      <c r="J162" s="9" t="s">
        <v>687</v>
      </c>
      <c r="K162" s="7"/>
      <c r="L162" s="3" t="s">
        <v>688</v>
      </c>
      <c r="M162" s="8" t="s">
        <v>694</v>
      </c>
      <c r="N162" s="8"/>
    </row>
    <row r="163" ht="264" customHeight="1" spans="1:14">
      <c r="A163" s="2">
        <v>162</v>
      </c>
      <c r="B163" s="3" t="s">
        <v>715</v>
      </c>
      <c r="C163" s="2">
        <v>1426267</v>
      </c>
      <c r="D163" s="2" t="s">
        <v>301</v>
      </c>
      <c r="E163" s="3" t="s">
        <v>262</v>
      </c>
      <c r="F163" s="6">
        <v>43951.6473032407</v>
      </c>
      <c r="G163" s="3" t="s">
        <v>716</v>
      </c>
      <c r="H163" s="3" t="s">
        <v>717</v>
      </c>
      <c r="I163" s="3" t="s">
        <v>718</v>
      </c>
      <c r="J163" s="9" t="s">
        <v>687</v>
      </c>
      <c r="K163" s="7"/>
      <c r="L163" s="3" t="s">
        <v>688</v>
      </c>
      <c r="M163" s="8" t="s">
        <v>694</v>
      </c>
      <c r="N163" s="8"/>
    </row>
    <row r="164" ht="108" customHeight="1" spans="1:14">
      <c r="A164" s="2">
        <v>163</v>
      </c>
      <c r="B164" s="3" t="s">
        <v>715</v>
      </c>
      <c r="C164" s="2">
        <v>2885539</v>
      </c>
      <c r="D164" s="2" t="s">
        <v>719</v>
      </c>
      <c r="E164" s="2" t="s">
        <v>257</v>
      </c>
      <c r="F164" s="6">
        <v>41699.682650463</v>
      </c>
      <c r="G164" s="3" t="s">
        <v>377</v>
      </c>
      <c r="H164" s="3" t="s">
        <v>720</v>
      </c>
      <c r="I164" s="3" t="s">
        <v>721</v>
      </c>
      <c r="J164" s="9" t="s">
        <v>687</v>
      </c>
      <c r="K164" s="7"/>
      <c r="L164" s="3" t="s">
        <v>688</v>
      </c>
      <c r="M164" s="8" t="s">
        <v>694</v>
      </c>
      <c r="N164" s="8"/>
    </row>
    <row r="165" ht="81.75" customHeight="1" spans="1:14">
      <c r="A165" s="2">
        <v>164</v>
      </c>
      <c r="B165" s="3" t="s">
        <v>715</v>
      </c>
      <c r="C165" s="2">
        <v>1426267</v>
      </c>
      <c r="D165" s="2" t="s">
        <v>301</v>
      </c>
      <c r="E165" s="2" t="s">
        <v>257</v>
      </c>
      <c r="F165" s="6">
        <v>43951.7536226852</v>
      </c>
      <c r="G165" s="3" t="s">
        <v>377</v>
      </c>
      <c r="H165" s="3" t="s">
        <v>722</v>
      </c>
      <c r="I165" s="3" t="s">
        <v>723</v>
      </c>
      <c r="J165" s="9" t="s">
        <v>687</v>
      </c>
      <c r="K165" s="7"/>
      <c r="L165" s="3" t="s">
        <v>688</v>
      </c>
      <c r="M165" s="8" t="s">
        <v>694</v>
      </c>
      <c r="N165" s="8"/>
    </row>
    <row r="166" ht="108" customHeight="1" spans="1:14">
      <c r="A166" s="2">
        <v>165</v>
      </c>
      <c r="B166" s="3" t="s">
        <v>715</v>
      </c>
      <c r="C166" s="2">
        <v>4331826</v>
      </c>
      <c r="D166" s="2" t="s">
        <v>724</v>
      </c>
      <c r="E166" s="3" t="s">
        <v>272</v>
      </c>
      <c r="F166" s="6">
        <v>42566.3993634259</v>
      </c>
      <c r="G166" s="2" t="s">
        <v>273</v>
      </c>
      <c r="H166" s="3" t="s">
        <v>725</v>
      </c>
      <c r="I166" s="3" t="s">
        <v>726</v>
      </c>
      <c r="J166" s="9" t="s">
        <v>687</v>
      </c>
      <c r="K166" s="7"/>
      <c r="L166" s="3" t="s">
        <v>688</v>
      </c>
      <c r="M166" s="8" t="s">
        <v>694</v>
      </c>
      <c r="N166" s="8"/>
    </row>
    <row r="167" ht="42.75" customHeight="1" spans="1:14">
      <c r="A167" s="2">
        <v>166</v>
      </c>
      <c r="B167" s="3" t="s">
        <v>727</v>
      </c>
      <c r="C167" s="2">
        <v>4921963</v>
      </c>
      <c r="D167" s="2" t="s">
        <v>699</v>
      </c>
      <c r="E167" s="3" t="s">
        <v>262</v>
      </c>
      <c r="F167" s="6">
        <v>44143.6175231482</v>
      </c>
      <c r="G167" s="3" t="s">
        <v>728</v>
      </c>
      <c r="H167" s="3" t="s">
        <v>729</v>
      </c>
      <c r="I167" s="3" t="s">
        <v>730</v>
      </c>
      <c r="J167" s="9" t="s">
        <v>687</v>
      </c>
      <c r="K167" s="7"/>
      <c r="L167" s="3" t="s">
        <v>688</v>
      </c>
      <c r="M167" s="8" t="s">
        <v>694</v>
      </c>
      <c r="N167" s="8"/>
    </row>
    <row r="168" ht="120.75" customHeight="1" spans="1:14">
      <c r="A168" s="2">
        <v>167</v>
      </c>
      <c r="B168" s="3" t="s">
        <v>727</v>
      </c>
      <c r="C168" s="2">
        <v>5971499</v>
      </c>
      <c r="D168" s="2" t="s">
        <v>731</v>
      </c>
      <c r="E168" s="2" t="s">
        <v>257</v>
      </c>
      <c r="F168" s="6">
        <v>42213.6867708333</v>
      </c>
      <c r="G168" s="3" t="s">
        <v>266</v>
      </c>
      <c r="H168" s="3" t="s">
        <v>732</v>
      </c>
      <c r="I168" s="3" t="s">
        <v>733</v>
      </c>
      <c r="J168" s="9" t="s">
        <v>687</v>
      </c>
      <c r="K168" s="7"/>
      <c r="L168" s="3" t="s">
        <v>688</v>
      </c>
      <c r="M168" s="8" t="s">
        <v>694</v>
      </c>
      <c r="N168" s="8"/>
    </row>
    <row r="169" ht="120.75" customHeight="1" spans="1:14">
      <c r="A169" s="2">
        <v>168</v>
      </c>
      <c r="B169" s="3" t="s">
        <v>727</v>
      </c>
      <c r="C169" s="2">
        <v>3724539</v>
      </c>
      <c r="D169" s="2" t="s">
        <v>734</v>
      </c>
      <c r="E169" s="2" t="s">
        <v>257</v>
      </c>
      <c r="F169" s="6">
        <v>42692.895162037</v>
      </c>
      <c r="G169" s="3" t="s">
        <v>266</v>
      </c>
      <c r="H169" s="3" t="s">
        <v>735</v>
      </c>
      <c r="I169" s="3" t="s">
        <v>736</v>
      </c>
      <c r="J169" s="9" t="s">
        <v>687</v>
      </c>
      <c r="K169" s="7"/>
      <c r="L169" s="3" t="s">
        <v>688</v>
      </c>
      <c r="M169" s="8" t="s">
        <v>694</v>
      </c>
      <c r="N169" s="8"/>
    </row>
    <row r="170" ht="55.5" customHeight="1" spans="1:14">
      <c r="A170" s="2">
        <v>169</v>
      </c>
      <c r="B170" s="3" t="s">
        <v>727</v>
      </c>
      <c r="C170" s="2">
        <v>3724539</v>
      </c>
      <c r="D170" s="2" t="s">
        <v>734</v>
      </c>
      <c r="E170" s="3" t="s">
        <v>262</v>
      </c>
      <c r="F170" s="6">
        <v>42692.9114814815</v>
      </c>
      <c r="G170" s="3" t="s">
        <v>737</v>
      </c>
      <c r="H170" s="3" t="s">
        <v>738</v>
      </c>
      <c r="I170" s="3" t="s">
        <v>739</v>
      </c>
      <c r="J170" s="9" t="s">
        <v>687</v>
      </c>
      <c r="K170" s="7"/>
      <c r="L170" s="3" t="s">
        <v>688</v>
      </c>
      <c r="M170" s="8" t="s">
        <v>694</v>
      </c>
      <c r="N170" s="8"/>
    </row>
    <row r="171" ht="108" customHeight="1" spans="1:14">
      <c r="A171" s="2">
        <v>170</v>
      </c>
      <c r="B171" s="3" t="s">
        <v>727</v>
      </c>
      <c r="C171" s="2">
        <v>35807877</v>
      </c>
      <c r="D171" s="2" t="s">
        <v>740</v>
      </c>
      <c r="E171" s="3" t="s">
        <v>272</v>
      </c>
      <c r="F171" s="6">
        <v>45633.3556828704</v>
      </c>
      <c r="G171" s="3" t="s">
        <v>741</v>
      </c>
      <c r="H171" s="3" t="s">
        <v>742</v>
      </c>
      <c r="I171" s="2" t="s">
        <v>743</v>
      </c>
      <c r="J171" s="9" t="s">
        <v>687</v>
      </c>
      <c r="K171" s="7"/>
      <c r="L171" s="3" t="s">
        <v>688</v>
      </c>
      <c r="M171" s="8" t="s">
        <v>694</v>
      </c>
      <c r="N171" s="8"/>
    </row>
    <row r="172" ht="94.5" customHeight="1" spans="1:14">
      <c r="A172" s="2">
        <v>171</v>
      </c>
      <c r="B172" s="3" t="s">
        <v>727</v>
      </c>
      <c r="C172" s="2">
        <v>1867776</v>
      </c>
      <c r="D172" s="2" t="s">
        <v>744</v>
      </c>
      <c r="E172" s="3" t="s">
        <v>272</v>
      </c>
      <c r="F172" s="6">
        <v>42284.357025463</v>
      </c>
      <c r="G172" s="2" t="s">
        <v>273</v>
      </c>
      <c r="H172" s="3" t="s">
        <v>745</v>
      </c>
      <c r="I172" s="3" t="s">
        <v>746</v>
      </c>
      <c r="J172" s="9" t="s">
        <v>687</v>
      </c>
      <c r="K172" s="7"/>
      <c r="L172" s="3" t="s">
        <v>688</v>
      </c>
      <c r="M172" s="8" t="s">
        <v>694</v>
      </c>
      <c r="N172" s="8"/>
    </row>
    <row r="173" ht="108" customHeight="1" spans="1:14">
      <c r="A173" s="2">
        <v>172</v>
      </c>
      <c r="B173" s="3" t="s">
        <v>727</v>
      </c>
      <c r="C173" s="2">
        <v>551310</v>
      </c>
      <c r="D173" s="2" t="s">
        <v>747</v>
      </c>
      <c r="E173" s="2" t="s">
        <v>257</v>
      </c>
      <c r="F173" s="6">
        <v>44317.3692824074</v>
      </c>
      <c r="G173" s="3" t="s">
        <v>475</v>
      </c>
      <c r="H173" s="3" t="s">
        <v>748</v>
      </c>
      <c r="I173" s="3" t="s">
        <v>749</v>
      </c>
      <c r="J173" s="9" t="s">
        <v>687</v>
      </c>
      <c r="K173" s="7"/>
      <c r="L173" s="3" t="s">
        <v>688</v>
      </c>
      <c r="M173" s="8" t="s">
        <v>694</v>
      </c>
      <c r="N173" s="8"/>
    </row>
    <row r="174" ht="94.5" customHeight="1" spans="1:14">
      <c r="A174" s="2">
        <v>173</v>
      </c>
      <c r="B174" s="3" t="s">
        <v>727</v>
      </c>
      <c r="C174" s="2">
        <v>5971499</v>
      </c>
      <c r="D174" s="2" t="s">
        <v>731</v>
      </c>
      <c r="E174" s="3" t="s">
        <v>272</v>
      </c>
      <c r="F174" s="6">
        <v>42214.3859953704</v>
      </c>
      <c r="G174" s="2" t="s">
        <v>273</v>
      </c>
      <c r="H174" s="3" t="s">
        <v>750</v>
      </c>
      <c r="I174" s="3" t="s">
        <v>751</v>
      </c>
      <c r="J174" s="9" t="s">
        <v>687</v>
      </c>
      <c r="K174" s="7"/>
      <c r="L174" s="3" t="s">
        <v>688</v>
      </c>
      <c r="M174" s="8" t="s">
        <v>694</v>
      </c>
      <c r="N174" s="8"/>
    </row>
    <row r="175" ht="94.5" customHeight="1" spans="1:14">
      <c r="A175" s="2">
        <v>174</v>
      </c>
      <c r="B175" s="3" t="s">
        <v>752</v>
      </c>
      <c r="C175" s="2">
        <v>35686325</v>
      </c>
      <c r="D175" s="2" t="s">
        <v>637</v>
      </c>
      <c r="E175" s="3" t="s">
        <v>272</v>
      </c>
      <c r="F175" s="6">
        <v>45513.6171759259</v>
      </c>
      <c r="G175" s="3" t="s">
        <v>308</v>
      </c>
      <c r="H175" s="3" t="s">
        <v>753</v>
      </c>
      <c r="I175" s="3" t="s">
        <v>754</v>
      </c>
      <c r="J175" s="9" t="s">
        <v>687</v>
      </c>
      <c r="K175" s="7"/>
      <c r="L175" s="3" t="s">
        <v>688</v>
      </c>
      <c r="M175" s="8" t="s">
        <v>694</v>
      </c>
      <c r="N175" s="8"/>
    </row>
    <row r="176" ht="94.5" customHeight="1" spans="1:14">
      <c r="A176" s="2">
        <v>175</v>
      </c>
      <c r="B176" s="3" t="s">
        <v>752</v>
      </c>
      <c r="C176" s="2">
        <v>2656838</v>
      </c>
      <c r="D176" s="2" t="s">
        <v>755</v>
      </c>
      <c r="E176" s="3" t="s">
        <v>272</v>
      </c>
      <c r="F176" s="6">
        <v>43066.3701736111</v>
      </c>
      <c r="G176" s="3" t="s">
        <v>302</v>
      </c>
      <c r="H176" s="3" t="s">
        <v>756</v>
      </c>
      <c r="I176" s="3" t="s">
        <v>757</v>
      </c>
      <c r="J176" s="9" t="s">
        <v>687</v>
      </c>
      <c r="K176" s="7"/>
      <c r="L176" s="3" t="s">
        <v>688</v>
      </c>
      <c r="M176" s="8" t="s">
        <v>694</v>
      </c>
      <c r="N176" s="8"/>
    </row>
    <row r="177" ht="94.5" customHeight="1" spans="1:14">
      <c r="A177" s="2">
        <v>176</v>
      </c>
      <c r="B177" s="3" t="s">
        <v>752</v>
      </c>
      <c r="C177" s="2">
        <v>1508863</v>
      </c>
      <c r="D177" s="2" t="s">
        <v>758</v>
      </c>
      <c r="E177" s="3" t="s">
        <v>272</v>
      </c>
      <c r="F177" s="6">
        <v>41388.3750115741</v>
      </c>
      <c r="G177" s="2" t="s">
        <v>273</v>
      </c>
      <c r="H177" s="3" t="s">
        <v>759</v>
      </c>
      <c r="I177" s="3" t="s">
        <v>760</v>
      </c>
      <c r="J177" s="9" t="s">
        <v>687</v>
      </c>
      <c r="K177" s="7"/>
      <c r="L177" s="3" t="s">
        <v>688</v>
      </c>
      <c r="M177" s="8" t="s">
        <v>694</v>
      </c>
      <c r="N177" s="8"/>
    </row>
    <row r="178" ht="81.75" customHeight="1" spans="1:14">
      <c r="A178" s="2">
        <v>177</v>
      </c>
      <c r="B178" s="3" t="s">
        <v>752</v>
      </c>
      <c r="C178" s="2">
        <v>3505180</v>
      </c>
      <c r="D178" s="2" t="s">
        <v>761</v>
      </c>
      <c r="E178" s="3" t="s">
        <v>272</v>
      </c>
      <c r="F178" s="6">
        <v>42578.4011342593</v>
      </c>
      <c r="G178" s="2" t="s">
        <v>415</v>
      </c>
      <c r="H178" s="3" t="s">
        <v>762</v>
      </c>
      <c r="I178" s="3" t="s">
        <v>763</v>
      </c>
      <c r="J178" s="9" t="s">
        <v>687</v>
      </c>
      <c r="K178" s="7"/>
      <c r="L178" s="3" t="s">
        <v>688</v>
      </c>
      <c r="M178" s="8" t="s">
        <v>694</v>
      </c>
      <c r="N178" s="8"/>
    </row>
    <row r="179" ht="81.75" customHeight="1" spans="1:14">
      <c r="A179" s="2">
        <v>178</v>
      </c>
      <c r="B179" s="3" t="s">
        <v>752</v>
      </c>
      <c r="C179" s="2">
        <v>1560576</v>
      </c>
      <c r="D179" s="2" t="s">
        <v>764</v>
      </c>
      <c r="E179" s="2" t="s">
        <v>257</v>
      </c>
      <c r="F179" s="6">
        <v>42102.4043981481</v>
      </c>
      <c r="G179" s="3" t="s">
        <v>344</v>
      </c>
      <c r="H179" s="3" t="s">
        <v>765</v>
      </c>
      <c r="I179" s="3" t="s">
        <v>766</v>
      </c>
      <c r="J179" s="9" t="s">
        <v>687</v>
      </c>
      <c r="K179" s="7"/>
      <c r="L179" s="3" t="s">
        <v>688</v>
      </c>
      <c r="M179" s="8" t="s">
        <v>694</v>
      </c>
      <c r="N179" s="8"/>
    </row>
    <row r="180" ht="81.75" customHeight="1" spans="1:14">
      <c r="A180" s="2">
        <v>179</v>
      </c>
      <c r="B180" s="3" t="s">
        <v>752</v>
      </c>
      <c r="C180" s="2">
        <v>5883587</v>
      </c>
      <c r="D180" s="2" t="s">
        <v>533</v>
      </c>
      <c r="E180" s="3" t="s">
        <v>272</v>
      </c>
      <c r="F180" s="6">
        <v>44086.4120949074</v>
      </c>
      <c r="G180" s="3" t="s">
        <v>308</v>
      </c>
      <c r="H180" s="3" t="s">
        <v>767</v>
      </c>
      <c r="I180" s="3" t="s">
        <v>768</v>
      </c>
      <c r="J180" s="9" t="s">
        <v>687</v>
      </c>
      <c r="K180" s="7"/>
      <c r="L180" s="3" t="s">
        <v>688</v>
      </c>
      <c r="M180" s="8" t="s">
        <v>694</v>
      </c>
      <c r="N180" s="8"/>
    </row>
    <row r="181" ht="42.75" customHeight="1" spans="1:14">
      <c r="A181" s="2">
        <v>180</v>
      </c>
      <c r="B181" s="3" t="s">
        <v>769</v>
      </c>
      <c r="C181" s="2">
        <v>4378732</v>
      </c>
      <c r="D181" s="2" t="s">
        <v>770</v>
      </c>
      <c r="E181" s="3" t="s">
        <v>262</v>
      </c>
      <c r="F181" s="6">
        <v>44047.7261111111</v>
      </c>
      <c r="G181" s="3" t="s">
        <v>263</v>
      </c>
      <c r="H181" s="3" t="s">
        <v>771</v>
      </c>
      <c r="I181" s="3" t="s">
        <v>772</v>
      </c>
      <c r="J181" s="9" t="s">
        <v>687</v>
      </c>
      <c r="K181" s="7"/>
      <c r="L181" s="3" t="s">
        <v>688</v>
      </c>
      <c r="M181" s="8" t="s">
        <v>694</v>
      </c>
      <c r="N181" s="8"/>
    </row>
    <row r="182" ht="69" customHeight="1" spans="1:14">
      <c r="A182" s="2">
        <v>181</v>
      </c>
      <c r="B182" s="3" t="s">
        <v>769</v>
      </c>
      <c r="C182" s="2">
        <v>4378732</v>
      </c>
      <c r="D182" s="2" t="s">
        <v>770</v>
      </c>
      <c r="E182" s="2" t="s">
        <v>257</v>
      </c>
      <c r="F182" s="6">
        <v>44047.8111111111</v>
      </c>
      <c r="G182" s="3" t="s">
        <v>462</v>
      </c>
      <c r="H182" s="3" t="s">
        <v>773</v>
      </c>
      <c r="I182" s="3" t="s">
        <v>774</v>
      </c>
      <c r="J182" s="9" t="s">
        <v>687</v>
      </c>
      <c r="K182" s="7"/>
      <c r="L182" s="3" t="s">
        <v>688</v>
      </c>
      <c r="M182" s="8" t="s">
        <v>694</v>
      </c>
      <c r="N182" s="8"/>
    </row>
  </sheetData>
  <dataValidations count="2">
    <dataValidation type="list" allowBlank="1" errorTitle="请从下拉列表选择" error="请从下拉列表中选择一项。"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6 M147 M148 M149 M150 M151 M152 M153 M154 M155 M2:M3 M144:M145">
      <formula1>"术前（保留）,术后（剔除）,无法判断"</formula1>
    </dataValidation>
    <dataValidation type="list" allowBlank="1" errorTitle="请从下拉列表选择" error="请从下拉列表中选择一项。" sqref="M156:M182">
      <formula1>"保留,排除（与本次手术病程无关）"</formula1>
    </dataValidation>
  </dataValidations>
  <pageMargins left="0.75" right="0.75" top="1" bottom="1" header="0.511811023622047" footer="0.511811023622047"/>
  <pageSetup paperSize="9" fitToHeight="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20"/>
  <sheetViews>
    <sheetView tabSelected="1" workbookViewId="0">
      <pane xSplit="5" ySplit="1" topLeftCell="K117" activePane="bottomRight" state="frozen"/>
      <selection/>
      <selection pane="topRight"/>
      <selection pane="bottomLeft"/>
      <selection pane="bottomRight" activeCell="F2" sqref="F2:R120"/>
    </sheetView>
  </sheetViews>
  <sheetFormatPr defaultColWidth="8.53703703703704" defaultRowHeight="14.4"/>
  <cols>
    <col min="1" max="1" width="5" customWidth="1"/>
    <col min="2" max="2" width="4.77777777777778" customWidth="1"/>
    <col min="3" max="3" width="18" customWidth="1"/>
    <col min="4" max="4" width="70" customWidth="1"/>
    <col min="5" max="5" width="26.4444444444444" customWidth="1"/>
    <col min="6" max="17" width="9" customWidth="1"/>
    <col min="18" max="18" width="18" customWidth="1"/>
  </cols>
  <sheetData>
    <row r="1" ht="61" customHeight="1" spans="1:18">
      <c r="A1" s="1" t="s">
        <v>44</v>
      </c>
      <c r="B1" s="1" t="s">
        <v>45</v>
      </c>
      <c r="C1" s="1" t="s">
        <v>775</v>
      </c>
      <c r="D1" s="1" t="s">
        <v>776</v>
      </c>
      <c r="E1" s="1" t="s">
        <v>250</v>
      </c>
      <c r="F1" s="1" t="s">
        <v>777</v>
      </c>
      <c r="G1" s="1" t="s">
        <v>778</v>
      </c>
      <c r="H1" s="1" t="s">
        <v>779</v>
      </c>
      <c r="I1" s="1" t="s">
        <v>780</v>
      </c>
      <c r="J1" s="1" t="s">
        <v>781</v>
      </c>
      <c r="K1" s="1" t="s">
        <v>782</v>
      </c>
      <c r="L1" s="1" t="s">
        <v>783</v>
      </c>
      <c r="M1" s="1" t="s">
        <v>784</v>
      </c>
      <c r="N1" s="1" t="s">
        <v>785</v>
      </c>
      <c r="O1" s="1" t="s">
        <v>786</v>
      </c>
      <c r="P1" s="1" t="s">
        <v>787</v>
      </c>
      <c r="Q1" s="1" t="s">
        <v>788</v>
      </c>
      <c r="R1" s="1" t="s">
        <v>789</v>
      </c>
    </row>
    <row r="2" ht="94.5" customHeight="1" spans="1:18">
      <c r="A2" s="2">
        <v>1</v>
      </c>
      <c r="B2" s="2">
        <v>5659</v>
      </c>
      <c r="C2" s="3" t="s">
        <v>349</v>
      </c>
      <c r="D2" s="3" t="s">
        <v>790</v>
      </c>
      <c r="E2" s="3" t="s">
        <v>791</v>
      </c>
      <c r="F2" s="4" t="s">
        <v>792</v>
      </c>
      <c r="G2" s="4" t="s">
        <v>792</v>
      </c>
      <c r="H2" s="4" t="s">
        <v>793</v>
      </c>
      <c r="I2" s="4" t="s">
        <v>792</v>
      </c>
      <c r="J2" s="4" t="s">
        <v>792</v>
      </c>
      <c r="K2" s="4" t="s">
        <v>792</v>
      </c>
      <c r="L2" s="4" t="s">
        <v>792</v>
      </c>
      <c r="M2" s="4" t="s">
        <v>792</v>
      </c>
      <c r="N2" s="4" t="s">
        <v>792</v>
      </c>
      <c r="O2" s="4" t="s">
        <v>793</v>
      </c>
      <c r="P2" s="4" t="s">
        <v>792</v>
      </c>
      <c r="Q2" s="4" t="s">
        <v>792</v>
      </c>
      <c r="R2" s="5"/>
    </row>
    <row r="3" ht="55.5" customHeight="1" spans="1:18">
      <c r="A3" s="2">
        <v>2</v>
      </c>
      <c r="B3" s="2">
        <v>5671</v>
      </c>
      <c r="C3" s="3" t="s">
        <v>454</v>
      </c>
      <c r="D3" s="3" t="s">
        <v>794</v>
      </c>
      <c r="E3" s="3" t="s">
        <v>795</v>
      </c>
      <c r="F3" s="4" t="s">
        <v>792</v>
      </c>
      <c r="G3" s="4" t="s">
        <v>792</v>
      </c>
      <c r="H3" s="4" t="s">
        <v>792</v>
      </c>
      <c r="I3" s="4" t="s">
        <v>792</v>
      </c>
      <c r="J3" s="4" t="s">
        <v>792</v>
      </c>
      <c r="K3" s="4" t="s">
        <v>792</v>
      </c>
      <c r="L3" s="4" t="s">
        <v>792</v>
      </c>
      <c r="M3" s="4" t="s">
        <v>792</v>
      </c>
      <c r="N3" s="4" t="s">
        <v>792</v>
      </c>
      <c r="O3" s="4" t="s">
        <v>793</v>
      </c>
      <c r="P3" s="4" t="s">
        <v>793</v>
      </c>
      <c r="Q3" s="4" t="s">
        <v>792</v>
      </c>
      <c r="R3" s="5"/>
    </row>
    <row r="4" ht="133.5" customHeight="1" spans="1:18">
      <c r="A4" s="2">
        <v>3</v>
      </c>
      <c r="B4" s="2">
        <v>32686</v>
      </c>
      <c r="C4" s="3" t="s">
        <v>796</v>
      </c>
      <c r="D4" s="3" t="s">
        <v>797</v>
      </c>
      <c r="E4" s="3" t="s">
        <v>798</v>
      </c>
      <c r="F4" s="4" t="s">
        <v>792</v>
      </c>
      <c r="G4" s="4" t="s">
        <v>792</v>
      </c>
      <c r="H4" s="4" t="s">
        <v>792</v>
      </c>
      <c r="I4" s="4" t="s">
        <v>792</v>
      </c>
      <c r="J4" s="4" t="s">
        <v>792</v>
      </c>
      <c r="K4" s="4" t="s">
        <v>792</v>
      </c>
      <c r="L4" s="4" t="s">
        <v>792</v>
      </c>
      <c r="M4" s="4" t="s">
        <v>792</v>
      </c>
      <c r="N4" s="4" t="s">
        <v>792</v>
      </c>
      <c r="O4" s="4" t="s">
        <v>793</v>
      </c>
      <c r="P4" s="4" t="s">
        <v>793</v>
      </c>
      <c r="Q4" s="4" t="s">
        <v>792</v>
      </c>
      <c r="R4" s="5"/>
    </row>
    <row r="5" ht="108" customHeight="1" spans="1:18">
      <c r="A5" s="2">
        <v>4</v>
      </c>
      <c r="B5" s="2">
        <v>96146</v>
      </c>
      <c r="C5" s="3" t="s">
        <v>704</v>
      </c>
      <c r="D5" s="3" t="s">
        <v>705</v>
      </c>
      <c r="E5" s="3" t="s">
        <v>706</v>
      </c>
      <c r="F5" s="4" t="s">
        <v>792</v>
      </c>
      <c r="G5" s="4" t="s">
        <v>792</v>
      </c>
      <c r="H5" s="4" t="s">
        <v>792</v>
      </c>
      <c r="I5" s="4" t="s">
        <v>792</v>
      </c>
      <c r="J5" s="4" t="s">
        <v>792</v>
      </c>
      <c r="K5" s="4" t="s">
        <v>792</v>
      </c>
      <c r="L5" s="4" t="s">
        <v>792</v>
      </c>
      <c r="M5" s="4" t="s">
        <v>792</v>
      </c>
      <c r="N5" s="4" t="s">
        <v>792</v>
      </c>
      <c r="O5" s="4" t="s">
        <v>793</v>
      </c>
      <c r="P5" s="4" t="s">
        <v>792</v>
      </c>
      <c r="Q5" s="4" t="s">
        <v>792</v>
      </c>
      <c r="R5" s="5"/>
    </row>
    <row r="6" ht="42.75" customHeight="1" spans="1:18">
      <c r="A6" s="2">
        <v>5</v>
      </c>
      <c r="B6" s="2">
        <v>313858</v>
      </c>
      <c r="C6" s="3" t="s">
        <v>263</v>
      </c>
      <c r="D6" s="3" t="s">
        <v>264</v>
      </c>
      <c r="E6" s="3" t="s">
        <v>265</v>
      </c>
      <c r="F6" s="4" t="s">
        <v>792</v>
      </c>
      <c r="G6" s="4" t="s">
        <v>792</v>
      </c>
      <c r="H6" s="4" t="s">
        <v>792</v>
      </c>
      <c r="I6" s="4" t="s">
        <v>792</v>
      </c>
      <c r="J6" s="4" t="s">
        <v>792</v>
      </c>
      <c r="K6" s="4" t="s">
        <v>792</v>
      </c>
      <c r="L6" s="4" t="s">
        <v>792</v>
      </c>
      <c r="M6" s="4" t="s">
        <v>792</v>
      </c>
      <c r="N6" s="4" t="s">
        <v>792</v>
      </c>
      <c r="O6" s="4" t="s">
        <v>793</v>
      </c>
      <c r="P6" s="4" t="s">
        <v>792</v>
      </c>
      <c r="Q6" s="4" t="s">
        <v>793</v>
      </c>
      <c r="R6" s="5"/>
    </row>
    <row r="7" ht="42.75" customHeight="1" spans="1:18">
      <c r="A7" s="2">
        <v>6</v>
      </c>
      <c r="B7" s="2">
        <v>343074</v>
      </c>
      <c r="C7" s="3" t="s">
        <v>799</v>
      </c>
      <c r="D7" s="3" t="s">
        <v>800</v>
      </c>
      <c r="E7" s="3" t="s">
        <v>801</v>
      </c>
      <c r="F7" s="4" t="s">
        <v>792</v>
      </c>
      <c r="G7" s="4" t="s">
        <v>792</v>
      </c>
      <c r="H7" s="4" t="s">
        <v>792</v>
      </c>
      <c r="I7" s="4" t="s">
        <v>792</v>
      </c>
      <c r="J7" s="4" t="s">
        <v>792</v>
      </c>
      <c r="K7" s="4" t="s">
        <v>792</v>
      </c>
      <c r="L7" s="4" t="s">
        <v>792</v>
      </c>
      <c r="M7" s="4" t="s">
        <v>792</v>
      </c>
      <c r="N7" s="4" t="s">
        <v>792</v>
      </c>
      <c r="O7" s="4" t="s">
        <v>793</v>
      </c>
      <c r="P7" s="4" t="s">
        <v>793</v>
      </c>
      <c r="Q7" s="4" t="s">
        <v>792</v>
      </c>
      <c r="R7" s="5"/>
    </row>
    <row r="8" ht="42.75" customHeight="1" spans="1:18">
      <c r="A8" s="2">
        <v>7</v>
      </c>
      <c r="B8" s="2">
        <v>548970</v>
      </c>
      <c r="C8" s="3" t="s">
        <v>263</v>
      </c>
      <c r="D8" s="3" t="s">
        <v>802</v>
      </c>
      <c r="E8" s="3" t="s">
        <v>803</v>
      </c>
      <c r="F8" s="4" t="s">
        <v>792</v>
      </c>
      <c r="G8" s="4" t="s">
        <v>792</v>
      </c>
      <c r="H8" s="4" t="s">
        <v>792</v>
      </c>
      <c r="I8" s="4" t="s">
        <v>792</v>
      </c>
      <c r="J8" s="4" t="s">
        <v>792</v>
      </c>
      <c r="K8" s="4" t="s">
        <v>792</v>
      </c>
      <c r="L8" s="4" t="s">
        <v>792</v>
      </c>
      <c r="M8" s="4" t="s">
        <v>792</v>
      </c>
      <c r="N8" s="4" t="s">
        <v>792</v>
      </c>
      <c r="O8" s="4" t="s">
        <v>793</v>
      </c>
      <c r="P8" s="4" t="s">
        <v>792</v>
      </c>
      <c r="Q8" s="4" t="s">
        <v>792</v>
      </c>
      <c r="R8" s="5"/>
    </row>
    <row r="9" ht="55.5" customHeight="1" spans="1:18">
      <c r="A9" s="2">
        <v>8</v>
      </c>
      <c r="B9" s="2">
        <v>604882</v>
      </c>
      <c r="C9" s="3" t="s">
        <v>454</v>
      </c>
      <c r="D9" s="3" t="s">
        <v>804</v>
      </c>
      <c r="E9" s="3" t="s">
        <v>805</v>
      </c>
      <c r="F9" s="4" t="s">
        <v>792</v>
      </c>
      <c r="G9" s="4" t="s">
        <v>792</v>
      </c>
      <c r="H9" s="4" t="s">
        <v>792</v>
      </c>
      <c r="I9" s="4" t="s">
        <v>792</v>
      </c>
      <c r="J9" s="4" t="s">
        <v>792</v>
      </c>
      <c r="K9" s="4" t="s">
        <v>792</v>
      </c>
      <c r="L9" s="4" t="s">
        <v>792</v>
      </c>
      <c r="M9" s="4" t="s">
        <v>793</v>
      </c>
      <c r="N9" s="4" t="s">
        <v>792</v>
      </c>
      <c r="O9" s="4" t="s">
        <v>793</v>
      </c>
      <c r="P9" s="4" t="s">
        <v>793</v>
      </c>
      <c r="Q9" s="4" t="s">
        <v>792</v>
      </c>
      <c r="R9" s="5"/>
    </row>
    <row r="10" ht="69" customHeight="1" spans="1:18">
      <c r="A10" s="2">
        <v>9</v>
      </c>
      <c r="B10" s="2">
        <v>842252</v>
      </c>
      <c r="C10" s="3" t="s">
        <v>263</v>
      </c>
      <c r="D10" s="3" t="s">
        <v>806</v>
      </c>
      <c r="E10" s="3" t="s">
        <v>807</v>
      </c>
      <c r="F10" s="4" t="s">
        <v>793</v>
      </c>
      <c r="G10" s="4" t="s">
        <v>792</v>
      </c>
      <c r="H10" s="4" t="s">
        <v>793</v>
      </c>
      <c r="I10" s="4" t="s">
        <v>792</v>
      </c>
      <c r="J10" s="4" t="s">
        <v>792</v>
      </c>
      <c r="K10" s="4" t="s">
        <v>793</v>
      </c>
      <c r="L10" s="4" t="s">
        <v>792</v>
      </c>
      <c r="M10" s="4" t="s">
        <v>792</v>
      </c>
      <c r="N10" s="4" t="s">
        <v>792</v>
      </c>
      <c r="O10" s="4" t="s">
        <v>792</v>
      </c>
      <c r="P10" s="4" t="s">
        <v>792</v>
      </c>
      <c r="Q10" s="4" t="s">
        <v>792</v>
      </c>
      <c r="R10" s="5" t="s">
        <v>808</v>
      </c>
    </row>
    <row r="11" ht="120.75" customHeight="1" spans="1:18">
      <c r="A11" s="2">
        <v>10</v>
      </c>
      <c r="B11" s="2">
        <v>876075</v>
      </c>
      <c r="C11" s="3" t="s">
        <v>809</v>
      </c>
      <c r="D11" s="3" t="s">
        <v>810</v>
      </c>
      <c r="E11" s="3" t="s">
        <v>811</v>
      </c>
      <c r="F11" s="4" t="s">
        <v>792</v>
      </c>
      <c r="G11" s="4" t="s">
        <v>792</v>
      </c>
      <c r="H11" s="4" t="s">
        <v>792</v>
      </c>
      <c r="I11" s="4" t="s">
        <v>792</v>
      </c>
      <c r="J11" s="4" t="s">
        <v>792</v>
      </c>
      <c r="K11" s="4" t="s">
        <v>792</v>
      </c>
      <c r="L11" s="4" t="s">
        <v>792</v>
      </c>
      <c r="M11" s="4" t="s">
        <v>792</v>
      </c>
      <c r="N11" s="4" t="s">
        <v>792</v>
      </c>
      <c r="O11" s="4" t="s">
        <v>793</v>
      </c>
      <c r="P11" s="4" t="s">
        <v>793</v>
      </c>
      <c r="Q11" s="4" t="s">
        <v>793</v>
      </c>
      <c r="R11" s="5"/>
    </row>
    <row r="12" ht="55.5" customHeight="1" spans="1:18">
      <c r="A12" s="2">
        <v>11</v>
      </c>
      <c r="B12" s="2">
        <v>1264808</v>
      </c>
      <c r="C12" s="3" t="s">
        <v>454</v>
      </c>
      <c r="D12" s="3" t="s">
        <v>812</v>
      </c>
      <c r="E12" s="3" t="s">
        <v>598</v>
      </c>
      <c r="F12" s="4" t="s">
        <v>792</v>
      </c>
      <c r="G12" s="4" t="s">
        <v>792</v>
      </c>
      <c r="H12" s="4" t="s">
        <v>792</v>
      </c>
      <c r="I12" s="4" t="s">
        <v>792</v>
      </c>
      <c r="J12" s="4" t="s">
        <v>792</v>
      </c>
      <c r="K12" s="4" t="s">
        <v>792</v>
      </c>
      <c r="L12" s="4" t="s">
        <v>792</v>
      </c>
      <c r="M12" s="4" t="s">
        <v>792</v>
      </c>
      <c r="N12" s="4" t="s">
        <v>792</v>
      </c>
      <c r="O12" s="4" t="s">
        <v>793</v>
      </c>
      <c r="P12" s="4" t="s">
        <v>793</v>
      </c>
      <c r="Q12" s="4" t="s">
        <v>792</v>
      </c>
      <c r="R12" s="5"/>
    </row>
    <row r="13" ht="42.75" customHeight="1" spans="1:18">
      <c r="A13" s="2">
        <v>12</v>
      </c>
      <c r="B13" s="2">
        <v>1365909</v>
      </c>
      <c r="C13" s="3" t="s">
        <v>454</v>
      </c>
      <c r="D13" s="3" t="s">
        <v>813</v>
      </c>
      <c r="E13" s="3" t="s">
        <v>814</v>
      </c>
      <c r="F13" s="4" t="s">
        <v>792</v>
      </c>
      <c r="G13" s="4" t="s">
        <v>792</v>
      </c>
      <c r="H13" s="4" t="s">
        <v>792</v>
      </c>
      <c r="I13" s="4" t="s">
        <v>792</v>
      </c>
      <c r="J13" s="4" t="s">
        <v>792</v>
      </c>
      <c r="K13" s="4" t="s">
        <v>792</v>
      </c>
      <c r="L13" s="4" t="s">
        <v>792</v>
      </c>
      <c r="M13" s="4" t="s">
        <v>792</v>
      </c>
      <c r="N13" s="4" t="s">
        <v>792</v>
      </c>
      <c r="O13" s="4" t="s">
        <v>793</v>
      </c>
      <c r="P13" s="4" t="s">
        <v>793</v>
      </c>
      <c r="Q13" s="4" t="s">
        <v>793</v>
      </c>
      <c r="R13" s="5"/>
    </row>
    <row r="14" ht="211.5" customHeight="1" spans="1:18">
      <c r="A14" s="2">
        <v>13</v>
      </c>
      <c r="B14" s="2">
        <v>1426267</v>
      </c>
      <c r="C14" s="3" t="s">
        <v>716</v>
      </c>
      <c r="D14" s="3" t="s">
        <v>717</v>
      </c>
      <c r="E14" s="3" t="s">
        <v>718</v>
      </c>
      <c r="F14" s="4" t="s">
        <v>792</v>
      </c>
      <c r="G14" s="4" t="s">
        <v>792</v>
      </c>
      <c r="H14" s="4" t="s">
        <v>792</v>
      </c>
      <c r="I14" s="4" t="s">
        <v>792</v>
      </c>
      <c r="J14" s="4" t="s">
        <v>792</v>
      </c>
      <c r="K14" s="4" t="s">
        <v>792</v>
      </c>
      <c r="L14" s="4" t="s">
        <v>792</v>
      </c>
      <c r="M14" s="4" t="s">
        <v>792</v>
      </c>
      <c r="N14" s="4" t="s">
        <v>792</v>
      </c>
      <c r="O14" s="4" t="s">
        <v>793</v>
      </c>
      <c r="P14" s="4" t="s">
        <v>792</v>
      </c>
      <c r="Q14" s="4" t="s">
        <v>793</v>
      </c>
      <c r="R14" s="5"/>
    </row>
    <row r="15" ht="81.75" customHeight="1" spans="1:18">
      <c r="A15" s="2">
        <v>14</v>
      </c>
      <c r="B15" s="2">
        <v>1480037</v>
      </c>
      <c r="C15" s="3" t="s">
        <v>454</v>
      </c>
      <c r="D15" s="3" t="s">
        <v>815</v>
      </c>
      <c r="E15" s="3" t="s">
        <v>816</v>
      </c>
      <c r="F15" s="4" t="s">
        <v>792</v>
      </c>
      <c r="G15" s="4" t="s">
        <v>792</v>
      </c>
      <c r="H15" s="4" t="s">
        <v>792</v>
      </c>
      <c r="I15" s="4" t="s">
        <v>793</v>
      </c>
      <c r="J15" s="4" t="s">
        <v>793</v>
      </c>
      <c r="K15" s="4" t="s">
        <v>792</v>
      </c>
      <c r="L15" s="4" t="s">
        <v>792</v>
      </c>
      <c r="M15" s="4" t="s">
        <v>792</v>
      </c>
      <c r="N15" s="4" t="s">
        <v>792</v>
      </c>
      <c r="O15" s="4" t="s">
        <v>793</v>
      </c>
      <c r="P15" s="4" t="s">
        <v>793</v>
      </c>
      <c r="Q15" s="4" t="s">
        <v>792</v>
      </c>
      <c r="R15" s="5"/>
    </row>
    <row r="16" ht="81.75" customHeight="1" spans="1:18">
      <c r="A16" s="2">
        <v>15</v>
      </c>
      <c r="B16" s="2">
        <v>1547144</v>
      </c>
      <c r="C16" s="3" t="s">
        <v>320</v>
      </c>
      <c r="D16" s="3" t="s">
        <v>321</v>
      </c>
      <c r="E16" s="3" t="s">
        <v>322</v>
      </c>
      <c r="F16" s="4" t="s">
        <v>792</v>
      </c>
      <c r="G16" s="4" t="s">
        <v>792</v>
      </c>
      <c r="H16" s="4" t="s">
        <v>792</v>
      </c>
      <c r="I16" s="4" t="s">
        <v>792</v>
      </c>
      <c r="J16" s="4" t="s">
        <v>792</v>
      </c>
      <c r="K16" s="4" t="s">
        <v>792</v>
      </c>
      <c r="L16" s="4" t="s">
        <v>792</v>
      </c>
      <c r="M16" s="4" t="s">
        <v>792</v>
      </c>
      <c r="N16" s="4" t="s">
        <v>792</v>
      </c>
      <c r="O16" s="4" t="s">
        <v>793</v>
      </c>
      <c r="P16" s="4" t="s">
        <v>792</v>
      </c>
      <c r="Q16" s="4" t="s">
        <v>792</v>
      </c>
      <c r="R16" s="5"/>
    </row>
    <row r="17" ht="108" customHeight="1" spans="1:18">
      <c r="A17" s="2">
        <v>16</v>
      </c>
      <c r="B17" s="2">
        <v>1799490</v>
      </c>
      <c r="C17" s="3" t="s">
        <v>349</v>
      </c>
      <c r="D17" s="3" t="s">
        <v>817</v>
      </c>
      <c r="E17" s="3" t="s">
        <v>818</v>
      </c>
      <c r="F17" s="4" t="s">
        <v>792</v>
      </c>
      <c r="G17" s="4" t="s">
        <v>792</v>
      </c>
      <c r="H17" s="4" t="s">
        <v>792</v>
      </c>
      <c r="I17" s="4" t="s">
        <v>792</v>
      </c>
      <c r="J17" s="4" t="s">
        <v>792</v>
      </c>
      <c r="K17" s="4" t="s">
        <v>792</v>
      </c>
      <c r="L17" s="4" t="s">
        <v>792</v>
      </c>
      <c r="M17" s="4" t="s">
        <v>792</v>
      </c>
      <c r="N17" s="4" t="s">
        <v>792</v>
      </c>
      <c r="O17" s="4" t="s">
        <v>793</v>
      </c>
      <c r="P17" s="4" t="s">
        <v>792</v>
      </c>
      <c r="Q17" s="4" t="s">
        <v>792</v>
      </c>
      <c r="R17" s="5"/>
    </row>
    <row r="18" ht="42.75" customHeight="1" spans="1:18">
      <c r="A18" s="2">
        <v>17</v>
      </c>
      <c r="B18" s="2">
        <v>1862817</v>
      </c>
      <c r="C18" s="3" t="s">
        <v>329</v>
      </c>
      <c r="D18" s="3" t="s">
        <v>330</v>
      </c>
      <c r="E18" s="3" t="s">
        <v>331</v>
      </c>
      <c r="F18" s="4" t="s">
        <v>792</v>
      </c>
      <c r="G18" s="4" t="s">
        <v>792</v>
      </c>
      <c r="H18" s="4" t="s">
        <v>792</v>
      </c>
      <c r="I18" s="4" t="s">
        <v>792</v>
      </c>
      <c r="J18" s="4" t="s">
        <v>792</v>
      </c>
      <c r="K18" s="4" t="s">
        <v>792</v>
      </c>
      <c r="L18" s="4" t="s">
        <v>792</v>
      </c>
      <c r="M18" s="4" t="s">
        <v>792</v>
      </c>
      <c r="N18" s="4" t="s">
        <v>792</v>
      </c>
      <c r="O18" s="4" t="s">
        <v>793</v>
      </c>
      <c r="P18" s="4" t="s">
        <v>792</v>
      </c>
      <c r="Q18" s="4" t="s">
        <v>793</v>
      </c>
      <c r="R18" s="5"/>
    </row>
    <row r="19" ht="42.75" customHeight="1" spans="1:18">
      <c r="A19" s="2">
        <v>18</v>
      </c>
      <c r="B19" s="2">
        <v>2138260</v>
      </c>
      <c r="C19" s="3" t="s">
        <v>454</v>
      </c>
      <c r="D19" s="3" t="s">
        <v>819</v>
      </c>
      <c r="E19" s="3" t="s">
        <v>820</v>
      </c>
      <c r="F19" s="4" t="s">
        <v>792</v>
      </c>
      <c r="G19" s="4" t="s">
        <v>792</v>
      </c>
      <c r="H19" s="4" t="s">
        <v>792</v>
      </c>
      <c r="I19" s="4" t="s">
        <v>792</v>
      </c>
      <c r="J19" s="4" t="s">
        <v>792</v>
      </c>
      <c r="K19" s="4" t="s">
        <v>792</v>
      </c>
      <c r="L19" s="4" t="s">
        <v>792</v>
      </c>
      <c r="M19" s="4" t="s">
        <v>792</v>
      </c>
      <c r="N19" s="4" t="s">
        <v>792</v>
      </c>
      <c r="O19" s="4" t="s">
        <v>793</v>
      </c>
      <c r="P19" s="4" t="s">
        <v>793</v>
      </c>
      <c r="Q19" s="4" t="s">
        <v>792</v>
      </c>
      <c r="R19" s="5"/>
    </row>
    <row r="20" ht="94.5" customHeight="1" spans="1:18">
      <c r="A20" s="2">
        <v>19</v>
      </c>
      <c r="B20" s="2">
        <v>2176251</v>
      </c>
      <c r="C20" s="3" t="s">
        <v>821</v>
      </c>
      <c r="D20" s="3" t="s">
        <v>822</v>
      </c>
      <c r="E20" s="3" t="s">
        <v>823</v>
      </c>
      <c r="F20" s="4" t="s">
        <v>792</v>
      </c>
      <c r="G20" s="4" t="s">
        <v>792</v>
      </c>
      <c r="H20" s="4" t="s">
        <v>792</v>
      </c>
      <c r="I20" s="4" t="s">
        <v>792</v>
      </c>
      <c r="J20" s="4" t="s">
        <v>792</v>
      </c>
      <c r="K20" s="4" t="s">
        <v>792</v>
      </c>
      <c r="L20" s="4" t="s">
        <v>792</v>
      </c>
      <c r="M20" s="4" t="s">
        <v>792</v>
      </c>
      <c r="N20" s="4" t="s">
        <v>792</v>
      </c>
      <c r="O20" s="4" t="s">
        <v>793</v>
      </c>
      <c r="P20" s="4" t="s">
        <v>792</v>
      </c>
      <c r="Q20" s="4" t="s">
        <v>793</v>
      </c>
      <c r="R20" s="5"/>
    </row>
    <row r="21" ht="94.5" customHeight="1" spans="1:18">
      <c r="A21" s="2">
        <v>20</v>
      </c>
      <c r="B21" s="2">
        <v>2247151</v>
      </c>
      <c r="C21" s="3" t="s">
        <v>349</v>
      </c>
      <c r="D21" s="3" t="s">
        <v>350</v>
      </c>
      <c r="E21" s="3" t="s">
        <v>351</v>
      </c>
      <c r="F21" s="4" t="s">
        <v>792</v>
      </c>
      <c r="G21" s="4" t="s">
        <v>792</v>
      </c>
      <c r="H21" s="4" t="s">
        <v>792</v>
      </c>
      <c r="I21" s="4" t="s">
        <v>792</v>
      </c>
      <c r="J21" s="4" t="s">
        <v>792</v>
      </c>
      <c r="K21" s="4" t="s">
        <v>792</v>
      </c>
      <c r="L21" s="4" t="s">
        <v>792</v>
      </c>
      <c r="M21" s="4" t="s">
        <v>792</v>
      </c>
      <c r="N21" s="4" t="s">
        <v>792</v>
      </c>
      <c r="O21" s="4" t="s">
        <v>793</v>
      </c>
      <c r="P21" s="4" t="s">
        <v>792</v>
      </c>
      <c r="Q21" s="4" t="s">
        <v>793</v>
      </c>
      <c r="R21" s="5"/>
    </row>
    <row r="22" ht="108" customHeight="1" spans="1:18">
      <c r="A22" s="2">
        <v>21</v>
      </c>
      <c r="B22" s="2">
        <v>2326056</v>
      </c>
      <c r="C22" s="3" t="s">
        <v>349</v>
      </c>
      <c r="D22" s="3" t="s">
        <v>824</v>
      </c>
      <c r="E22" s="3" t="s">
        <v>825</v>
      </c>
      <c r="F22" s="4" t="s">
        <v>792</v>
      </c>
      <c r="G22" s="4" t="s">
        <v>792</v>
      </c>
      <c r="H22" s="4" t="s">
        <v>792</v>
      </c>
      <c r="I22" s="4" t="s">
        <v>792</v>
      </c>
      <c r="J22" s="4" t="s">
        <v>792</v>
      </c>
      <c r="K22" s="4" t="s">
        <v>792</v>
      </c>
      <c r="L22" s="4" t="s">
        <v>792</v>
      </c>
      <c r="M22" s="4" t="s">
        <v>792</v>
      </c>
      <c r="N22" s="4" t="s">
        <v>792</v>
      </c>
      <c r="O22" s="4" t="s">
        <v>793</v>
      </c>
      <c r="P22" s="4" t="s">
        <v>792</v>
      </c>
      <c r="Q22" s="4" t="s">
        <v>792</v>
      </c>
      <c r="R22" s="5"/>
    </row>
    <row r="23" ht="108" customHeight="1" spans="1:18">
      <c r="A23" s="2">
        <v>22</v>
      </c>
      <c r="B23" s="2">
        <v>2352323</v>
      </c>
      <c r="C23" s="3" t="s">
        <v>826</v>
      </c>
      <c r="D23" s="3" t="s">
        <v>827</v>
      </c>
      <c r="E23" s="3" t="s">
        <v>828</v>
      </c>
      <c r="F23" s="4" t="s">
        <v>792</v>
      </c>
      <c r="G23" s="4" t="s">
        <v>792</v>
      </c>
      <c r="H23" s="4" t="s">
        <v>792</v>
      </c>
      <c r="I23" s="4" t="s">
        <v>792</v>
      </c>
      <c r="J23" s="4" t="s">
        <v>792</v>
      </c>
      <c r="K23" s="4" t="s">
        <v>792</v>
      </c>
      <c r="L23" s="4" t="s">
        <v>792</v>
      </c>
      <c r="M23" s="4" t="s">
        <v>792</v>
      </c>
      <c r="N23" s="4" t="s">
        <v>792</v>
      </c>
      <c r="O23" s="4" t="s">
        <v>793</v>
      </c>
      <c r="P23" s="4" t="s">
        <v>793</v>
      </c>
      <c r="Q23" s="4" t="s">
        <v>793</v>
      </c>
      <c r="R23" s="5"/>
    </row>
    <row r="24" ht="81.75" customHeight="1" spans="1:18">
      <c r="A24" s="2">
        <v>23</v>
      </c>
      <c r="B24" s="2">
        <v>2368339</v>
      </c>
      <c r="C24" s="3" t="s">
        <v>361</v>
      </c>
      <c r="D24" s="3" t="s">
        <v>362</v>
      </c>
      <c r="E24" s="3" t="s">
        <v>363</v>
      </c>
      <c r="F24" s="4" t="s">
        <v>792</v>
      </c>
      <c r="G24" s="4" t="s">
        <v>792</v>
      </c>
      <c r="H24" s="4" t="s">
        <v>792</v>
      </c>
      <c r="I24" s="4" t="s">
        <v>792</v>
      </c>
      <c r="J24" s="4" t="s">
        <v>792</v>
      </c>
      <c r="K24" s="4" t="s">
        <v>792</v>
      </c>
      <c r="L24" s="4" t="s">
        <v>792</v>
      </c>
      <c r="M24" s="4" t="s">
        <v>792</v>
      </c>
      <c r="N24" s="4" t="s">
        <v>792</v>
      </c>
      <c r="O24" s="4" t="s">
        <v>793</v>
      </c>
      <c r="P24" s="4" t="s">
        <v>792</v>
      </c>
      <c r="Q24" s="4" t="s">
        <v>793</v>
      </c>
      <c r="R24" s="5"/>
    </row>
    <row r="25" ht="94.5" customHeight="1" spans="1:18">
      <c r="A25" s="2">
        <v>24</v>
      </c>
      <c r="B25" s="2">
        <v>2385429</v>
      </c>
      <c r="C25" s="3" t="s">
        <v>349</v>
      </c>
      <c r="D25" s="3" t="s">
        <v>366</v>
      </c>
      <c r="E25" s="3" t="s">
        <v>367</v>
      </c>
      <c r="F25" s="4" t="s">
        <v>792</v>
      </c>
      <c r="G25" s="4" t="s">
        <v>792</v>
      </c>
      <c r="H25" s="4" t="s">
        <v>792</v>
      </c>
      <c r="I25" s="4" t="s">
        <v>792</v>
      </c>
      <c r="J25" s="4" t="s">
        <v>792</v>
      </c>
      <c r="K25" s="4" t="s">
        <v>792</v>
      </c>
      <c r="L25" s="4" t="s">
        <v>792</v>
      </c>
      <c r="M25" s="4" t="s">
        <v>792</v>
      </c>
      <c r="N25" s="4" t="s">
        <v>792</v>
      </c>
      <c r="O25" s="4" t="s">
        <v>793</v>
      </c>
      <c r="P25" s="4" t="s">
        <v>792</v>
      </c>
      <c r="Q25" s="4" t="s">
        <v>792</v>
      </c>
      <c r="R25" s="5" t="s">
        <v>829</v>
      </c>
    </row>
    <row r="26" ht="42.75" customHeight="1" spans="1:18">
      <c r="A26" s="2">
        <v>25</v>
      </c>
      <c r="B26" s="2">
        <v>2672759</v>
      </c>
      <c r="C26" s="3" t="s">
        <v>799</v>
      </c>
      <c r="D26" s="3" t="s">
        <v>830</v>
      </c>
      <c r="E26" s="3" t="s">
        <v>831</v>
      </c>
      <c r="F26" s="4" t="s">
        <v>792</v>
      </c>
      <c r="G26" s="4" t="s">
        <v>792</v>
      </c>
      <c r="H26" s="4" t="s">
        <v>792</v>
      </c>
      <c r="I26" s="4" t="s">
        <v>792</v>
      </c>
      <c r="J26" s="4" t="s">
        <v>792</v>
      </c>
      <c r="K26" s="4" t="s">
        <v>792</v>
      </c>
      <c r="L26" s="4" t="s">
        <v>792</v>
      </c>
      <c r="M26" s="4" t="s">
        <v>792</v>
      </c>
      <c r="N26" s="4" t="s">
        <v>792</v>
      </c>
      <c r="O26" s="4" t="s">
        <v>793</v>
      </c>
      <c r="P26" s="4" t="s">
        <v>793</v>
      </c>
      <c r="Q26" s="4" t="s">
        <v>792</v>
      </c>
      <c r="R26" s="5"/>
    </row>
    <row r="27" ht="55.5" customHeight="1" spans="1:18">
      <c r="A27" s="2">
        <v>26</v>
      </c>
      <c r="B27" s="2">
        <v>2673171</v>
      </c>
      <c r="C27" s="3" t="s">
        <v>799</v>
      </c>
      <c r="D27" s="3" t="s">
        <v>832</v>
      </c>
      <c r="E27" s="3" t="s">
        <v>833</v>
      </c>
      <c r="F27" s="4" t="s">
        <v>792</v>
      </c>
      <c r="G27" s="4" t="s">
        <v>792</v>
      </c>
      <c r="H27" s="4" t="s">
        <v>792</v>
      </c>
      <c r="I27" s="4" t="s">
        <v>792</v>
      </c>
      <c r="J27" s="4" t="s">
        <v>792</v>
      </c>
      <c r="K27" s="4" t="s">
        <v>792</v>
      </c>
      <c r="L27" s="4" t="s">
        <v>792</v>
      </c>
      <c r="M27" s="4" t="s">
        <v>792</v>
      </c>
      <c r="N27" s="4" t="s">
        <v>792</v>
      </c>
      <c r="O27" s="4" t="s">
        <v>793</v>
      </c>
      <c r="P27" s="4" t="s">
        <v>793</v>
      </c>
      <c r="Q27" s="4" t="s">
        <v>792</v>
      </c>
      <c r="R27" s="5"/>
    </row>
    <row r="28" ht="30" customHeight="1" spans="1:18">
      <c r="A28" s="2">
        <v>27</v>
      </c>
      <c r="B28" s="2">
        <v>2740939</v>
      </c>
      <c r="C28" s="3" t="s">
        <v>737</v>
      </c>
      <c r="D28" s="3" t="s">
        <v>834</v>
      </c>
      <c r="E28" s="3" t="s">
        <v>835</v>
      </c>
      <c r="F28" s="4" t="s">
        <v>792</v>
      </c>
      <c r="G28" s="4" t="s">
        <v>792</v>
      </c>
      <c r="H28" s="4" t="s">
        <v>792</v>
      </c>
      <c r="I28" s="4" t="s">
        <v>792</v>
      </c>
      <c r="J28" s="4" t="s">
        <v>792</v>
      </c>
      <c r="K28" s="4" t="s">
        <v>792</v>
      </c>
      <c r="L28" s="4" t="s">
        <v>792</v>
      </c>
      <c r="M28" s="4" t="s">
        <v>792</v>
      </c>
      <c r="N28" s="4" t="s">
        <v>792</v>
      </c>
      <c r="O28" s="4" t="s">
        <v>793</v>
      </c>
      <c r="P28" s="4" t="s">
        <v>792</v>
      </c>
      <c r="Q28" s="4" t="s">
        <v>793</v>
      </c>
      <c r="R28" s="5"/>
    </row>
    <row r="29" ht="147" customHeight="1" spans="1:18">
      <c r="A29" s="2">
        <v>28</v>
      </c>
      <c r="B29" s="2">
        <v>2745315</v>
      </c>
      <c r="C29" s="3" t="s">
        <v>349</v>
      </c>
      <c r="D29" s="3" t="s">
        <v>836</v>
      </c>
      <c r="E29" s="3" t="s">
        <v>837</v>
      </c>
      <c r="F29" s="4" t="s">
        <v>792</v>
      </c>
      <c r="G29" s="4" t="s">
        <v>792</v>
      </c>
      <c r="H29" s="4" t="s">
        <v>792</v>
      </c>
      <c r="I29" s="4" t="s">
        <v>792</v>
      </c>
      <c r="J29" s="4" t="s">
        <v>792</v>
      </c>
      <c r="K29" s="4" t="s">
        <v>792</v>
      </c>
      <c r="L29" s="4" t="s">
        <v>792</v>
      </c>
      <c r="M29" s="4" t="s">
        <v>792</v>
      </c>
      <c r="N29" s="4" t="s">
        <v>792</v>
      </c>
      <c r="O29" s="4" t="s">
        <v>793</v>
      </c>
      <c r="P29" s="4" t="s">
        <v>793</v>
      </c>
      <c r="Q29" s="4" t="s">
        <v>793</v>
      </c>
      <c r="R29" s="5"/>
    </row>
    <row r="30" ht="81.75" customHeight="1" spans="1:18">
      <c r="A30" s="2">
        <v>29</v>
      </c>
      <c r="B30" s="2">
        <v>3484771</v>
      </c>
      <c r="C30" s="3" t="s">
        <v>263</v>
      </c>
      <c r="D30" s="3" t="s">
        <v>838</v>
      </c>
      <c r="E30" s="3" t="s">
        <v>839</v>
      </c>
      <c r="F30" s="4" t="s">
        <v>792</v>
      </c>
      <c r="G30" s="4" t="s">
        <v>792</v>
      </c>
      <c r="H30" s="4" t="s">
        <v>792</v>
      </c>
      <c r="I30" s="4" t="s">
        <v>792</v>
      </c>
      <c r="J30" s="4" t="s">
        <v>792</v>
      </c>
      <c r="K30" s="4" t="s">
        <v>792</v>
      </c>
      <c r="L30" s="4" t="s">
        <v>792</v>
      </c>
      <c r="M30" s="4" t="s">
        <v>792</v>
      </c>
      <c r="N30" s="4" t="s">
        <v>792</v>
      </c>
      <c r="O30" s="4" t="s">
        <v>793</v>
      </c>
      <c r="P30" s="4" t="s">
        <v>793</v>
      </c>
      <c r="Q30" s="4" t="s">
        <v>792</v>
      </c>
      <c r="R30" s="5"/>
    </row>
    <row r="31" ht="55.5" customHeight="1" spans="1:18">
      <c r="A31" s="2">
        <v>30</v>
      </c>
      <c r="B31" s="2">
        <v>3545381</v>
      </c>
      <c r="C31" s="3" t="s">
        <v>263</v>
      </c>
      <c r="D31" s="3" t="s">
        <v>840</v>
      </c>
      <c r="E31" s="3" t="s">
        <v>841</v>
      </c>
      <c r="F31" s="4" t="s">
        <v>792</v>
      </c>
      <c r="G31" s="4" t="s">
        <v>792</v>
      </c>
      <c r="H31" s="4" t="s">
        <v>793</v>
      </c>
      <c r="I31" s="4" t="s">
        <v>792</v>
      </c>
      <c r="J31" s="4" t="s">
        <v>792</v>
      </c>
      <c r="K31" s="4" t="s">
        <v>792</v>
      </c>
      <c r="L31" s="4" t="s">
        <v>792</v>
      </c>
      <c r="M31" s="4" t="s">
        <v>792</v>
      </c>
      <c r="N31" s="4" t="s">
        <v>792</v>
      </c>
      <c r="O31" s="4" t="s">
        <v>793</v>
      </c>
      <c r="P31" s="4" t="s">
        <v>793</v>
      </c>
      <c r="Q31" s="4" t="s">
        <v>792</v>
      </c>
      <c r="R31" s="5"/>
    </row>
    <row r="32" ht="94.5" customHeight="1" spans="1:18">
      <c r="A32" s="2">
        <v>31</v>
      </c>
      <c r="B32" s="2">
        <v>3546871</v>
      </c>
      <c r="C32" s="3" t="s">
        <v>349</v>
      </c>
      <c r="D32" s="3" t="s">
        <v>842</v>
      </c>
      <c r="E32" s="3" t="s">
        <v>843</v>
      </c>
      <c r="F32" s="4" t="s">
        <v>792</v>
      </c>
      <c r="G32" s="4" t="s">
        <v>792</v>
      </c>
      <c r="H32" s="4" t="s">
        <v>792</v>
      </c>
      <c r="I32" s="4" t="s">
        <v>793</v>
      </c>
      <c r="J32" s="4" t="s">
        <v>792</v>
      </c>
      <c r="K32" s="4" t="s">
        <v>792</v>
      </c>
      <c r="L32" s="4" t="s">
        <v>792</v>
      </c>
      <c r="M32" s="4" t="s">
        <v>792</v>
      </c>
      <c r="N32" s="4" t="s">
        <v>793</v>
      </c>
      <c r="O32" s="4" t="s">
        <v>793</v>
      </c>
      <c r="P32" s="4" t="s">
        <v>792</v>
      </c>
      <c r="Q32" s="4" t="s">
        <v>792</v>
      </c>
      <c r="R32" s="5"/>
    </row>
    <row r="33" ht="108" customHeight="1" spans="1:18">
      <c r="A33" s="2">
        <v>32</v>
      </c>
      <c r="B33" s="2">
        <v>3556916</v>
      </c>
      <c r="C33" s="3" t="s">
        <v>349</v>
      </c>
      <c r="D33" s="3" t="s">
        <v>844</v>
      </c>
      <c r="E33" s="3" t="s">
        <v>845</v>
      </c>
      <c r="F33" s="4" t="s">
        <v>792</v>
      </c>
      <c r="G33" s="4" t="s">
        <v>792</v>
      </c>
      <c r="H33" s="4" t="s">
        <v>792</v>
      </c>
      <c r="I33" s="4" t="s">
        <v>792</v>
      </c>
      <c r="J33" s="4" t="s">
        <v>792</v>
      </c>
      <c r="K33" s="4" t="s">
        <v>792</v>
      </c>
      <c r="L33" s="4" t="s">
        <v>792</v>
      </c>
      <c r="M33" s="4" t="s">
        <v>792</v>
      </c>
      <c r="N33" s="4" t="s">
        <v>792</v>
      </c>
      <c r="O33" s="4" t="s">
        <v>793</v>
      </c>
      <c r="P33" s="4" t="s">
        <v>792</v>
      </c>
      <c r="Q33" s="4" t="s">
        <v>793</v>
      </c>
      <c r="R33" s="5"/>
    </row>
    <row r="34" ht="108" customHeight="1" spans="1:18">
      <c r="A34" s="2">
        <v>33</v>
      </c>
      <c r="B34" s="2">
        <v>3565173</v>
      </c>
      <c r="C34" s="3" t="s">
        <v>349</v>
      </c>
      <c r="D34" s="3" t="s">
        <v>846</v>
      </c>
      <c r="E34" s="3" t="s">
        <v>847</v>
      </c>
      <c r="F34" s="4" t="s">
        <v>792</v>
      </c>
      <c r="G34" s="4" t="s">
        <v>792</v>
      </c>
      <c r="H34" s="4" t="s">
        <v>792</v>
      </c>
      <c r="I34" s="4" t="s">
        <v>792</v>
      </c>
      <c r="J34" s="4" t="s">
        <v>792</v>
      </c>
      <c r="K34" s="4" t="s">
        <v>792</v>
      </c>
      <c r="L34" s="4" t="s">
        <v>792</v>
      </c>
      <c r="M34" s="4" t="s">
        <v>792</v>
      </c>
      <c r="N34" s="4" t="s">
        <v>792</v>
      </c>
      <c r="O34" s="4" t="s">
        <v>793</v>
      </c>
      <c r="P34" s="4" t="s">
        <v>793</v>
      </c>
      <c r="Q34" s="4" t="s">
        <v>792</v>
      </c>
      <c r="R34" s="5"/>
    </row>
    <row r="35" ht="108" customHeight="1" spans="1:18">
      <c r="A35" s="2">
        <v>34</v>
      </c>
      <c r="B35" s="2">
        <v>3698508</v>
      </c>
      <c r="C35" s="3" t="s">
        <v>349</v>
      </c>
      <c r="D35" s="3" t="s">
        <v>848</v>
      </c>
      <c r="E35" s="3" t="s">
        <v>849</v>
      </c>
      <c r="F35" s="4" t="s">
        <v>792</v>
      </c>
      <c r="G35" s="4" t="s">
        <v>792</v>
      </c>
      <c r="H35" s="4" t="s">
        <v>792</v>
      </c>
      <c r="I35" s="4" t="s">
        <v>792</v>
      </c>
      <c r="J35" s="4" t="s">
        <v>792</v>
      </c>
      <c r="K35" s="4" t="s">
        <v>792</v>
      </c>
      <c r="L35" s="4" t="s">
        <v>792</v>
      </c>
      <c r="M35" s="4" t="s">
        <v>792</v>
      </c>
      <c r="N35" s="4" t="s">
        <v>792</v>
      </c>
      <c r="O35" s="4" t="s">
        <v>793</v>
      </c>
      <c r="P35" s="4" t="s">
        <v>793</v>
      </c>
      <c r="Q35" s="4" t="s">
        <v>792</v>
      </c>
      <c r="R35" s="5"/>
    </row>
    <row r="36" ht="55.5" customHeight="1" spans="1:18">
      <c r="A36" s="2">
        <v>35</v>
      </c>
      <c r="B36" s="2">
        <v>3724539</v>
      </c>
      <c r="C36" s="3" t="s">
        <v>737</v>
      </c>
      <c r="D36" s="3" t="s">
        <v>738</v>
      </c>
      <c r="E36" s="3" t="s">
        <v>739</v>
      </c>
      <c r="F36" s="4" t="s">
        <v>792</v>
      </c>
      <c r="G36" s="4" t="s">
        <v>792</v>
      </c>
      <c r="H36" s="4" t="s">
        <v>792</v>
      </c>
      <c r="I36" s="4" t="s">
        <v>792</v>
      </c>
      <c r="J36" s="4" t="s">
        <v>792</v>
      </c>
      <c r="K36" s="4" t="s">
        <v>793</v>
      </c>
      <c r="L36" s="4" t="s">
        <v>792</v>
      </c>
      <c r="M36" s="4" t="s">
        <v>792</v>
      </c>
      <c r="N36" s="4" t="s">
        <v>792</v>
      </c>
      <c r="O36" s="4" t="s">
        <v>793</v>
      </c>
      <c r="P36" s="4" t="s">
        <v>792</v>
      </c>
      <c r="Q36" s="4" t="s">
        <v>793</v>
      </c>
      <c r="R36" s="5"/>
    </row>
    <row r="37" ht="42.75" customHeight="1" spans="1:18">
      <c r="A37" s="2">
        <v>36</v>
      </c>
      <c r="B37" s="2">
        <v>3729761</v>
      </c>
      <c r="C37" s="3" t="s">
        <v>263</v>
      </c>
      <c r="D37" s="3" t="s">
        <v>850</v>
      </c>
      <c r="E37" s="3" t="s">
        <v>851</v>
      </c>
      <c r="F37" s="4" t="s">
        <v>792</v>
      </c>
      <c r="G37" s="4" t="s">
        <v>792</v>
      </c>
      <c r="H37" s="4" t="s">
        <v>792</v>
      </c>
      <c r="I37" s="4" t="s">
        <v>792</v>
      </c>
      <c r="J37" s="4" t="s">
        <v>792</v>
      </c>
      <c r="K37" s="4" t="s">
        <v>792</v>
      </c>
      <c r="L37" s="4" t="s">
        <v>792</v>
      </c>
      <c r="M37" s="4" t="s">
        <v>792</v>
      </c>
      <c r="N37" s="4" t="s">
        <v>792</v>
      </c>
      <c r="O37" s="4" t="s">
        <v>793</v>
      </c>
      <c r="P37" s="4" t="s">
        <v>792</v>
      </c>
      <c r="Q37" s="4" t="s">
        <v>792</v>
      </c>
      <c r="R37" s="5"/>
    </row>
    <row r="38" ht="30" customHeight="1" spans="1:18">
      <c r="A38" s="2">
        <v>37</v>
      </c>
      <c r="B38" s="2">
        <v>3813706</v>
      </c>
      <c r="C38" s="3" t="s">
        <v>263</v>
      </c>
      <c r="D38" s="3" t="s">
        <v>852</v>
      </c>
      <c r="E38" s="3" t="s">
        <v>853</v>
      </c>
      <c r="F38" s="4" t="s">
        <v>792</v>
      </c>
      <c r="G38" s="4" t="s">
        <v>792</v>
      </c>
      <c r="H38" s="4" t="s">
        <v>792</v>
      </c>
      <c r="I38" s="4" t="s">
        <v>792</v>
      </c>
      <c r="J38" s="4" t="s">
        <v>792</v>
      </c>
      <c r="K38" s="4" t="s">
        <v>792</v>
      </c>
      <c r="L38" s="4" t="s">
        <v>792</v>
      </c>
      <c r="M38" s="4" t="s">
        <v>792</v>
      </c>
      <c r="N38" s="4" t="s">
        <v>792</v>
      </c>
      <c r="O38" s="4" t="s">
        <v>793</v>
      </c>
      <c r="P38" s="4" t="s">
        <v>793</v>
      </c>
      <c r="Q38" s="4" t="s">
        <v>792</v>
      </c>
      <c r="R38" s="5"/>
    </row>
    <row r="39" ht="69" customHeight="1" spans="1:18">
      <c r="A39" s="2">
        <v>38</v>
      </c>
      <c r="B39" s="2">
        <v>3819846</v>
      </c>
      <c r="C39" s="3" t="s">
        <v>854</v>
      </c>
      <c r="D39" s="3" t="s">
        <v>855</v>
      </c>
      <c r="E39" s="3" t="s">
        <v>856</v>
      </c>
      <c r="F39" s="4" t="s">
        <v>792</v>
      </c>
      <c r="G39" s="4" t="s">
        <v>792</v>
      </c>
      <c r="H39" s="4" t="s">
        <v>792</v>
      </c>
      <c r="I39" s="4" t="s">
        <v>792</v>
      </c>
      <c r="J39" s="4" t="s">
        <v>792</v>
      </c>
      <c r="K39" s="4" t="s">
        <v>792</v>
      </c>
      <c r="L39" s="4" t="s">
        <v>792</v>
      </c>
      <c r="M39" s="4" t="s">
        <v>792</v>
      </c>
      <c r="N39" s="4" t="s">
        <v>792</v>
      </c>
      <c r="O39" s="4" t="s">
        <v>793</v>
      </c>
      <c r="P39" s="4" t="s">
        <v>792</v>
      </c>
      <c r="Q39" s="4" t="s">
        <v>792</v>
      </c>
      <c r="R39" s="5"/>
    </row>
    <row r="40" ht="69" customHeight="1" spans="1:18">
      <c r="A40" s="2">
        <v>39</v>
      </c>
      <c r="B40" s="2">
        <v>3826010</v>
      </c>
      <c r="C40" s="3" t="s">
        <v>263</v>
      </c>
      <c r="D40" s="3" t="s">
        <v>440</v>
      </c>
      <c r="E40" s="3" t="s">
        <v>441</v>
      </c>
      <c r="F40" s="4" t="s">
        <v>792</v>
      </c>
      <c r="G40" s="4" t="s">
        <v>792</v>
      </c>
      <c r="H40" s="4" t="s">
        <v>792</v>
      </c>
      <c r="I40" s="4" t="s">
        <v>792</v>
      </c>
      <c r="J40" s="4" t="s">
        <v>792</v>
      </c>
      <c r="K40" s="4" t="s">
        <v>792</v>
      </c>
      <c r="L40" s="4" t="s">
        <v>792</v>
      </c>
      <c r="M40" s="4" t="s">
        <v>792</v>
      </c>
      <c r="N40" s="4" t="s">
        <v>792</v>
      </c>
      <c r="O40" s="4" t="s">
        <v>793</v>
      </c>
      <c r="P40" s="4" t="s">
        <v>792</v>
      </c>
      <c r="Q40" s="4" t="s">
        <v>792</v>
      </c>
      <c r="R40" s="5"/>
    </row>
    <row r="41" ht="42.75" customHeight="1" spans="1:18">
      <c r="A41" s="2">
        <v>40</v>
      </c>
      <c r="B41" s="2">
        <v>3859639</v>
      </c>
      <c r="C41" s="3" t="s">
        <v>454</v>
      </c>
      <c r="D41" s="3" t="s">
        <v>857</v>
      </c>
      <c r="E41" s="3" t="s">
        <v>456</v>
      </c>
      <c r="F41" s="4" t="s">
        <v>792</v>
      </c>
      <c r="G41" s="4" t="s">
        <v>792</v>
      </c>
      <c r="H41" s="4" t="s">
        <v>792</v>
      </c>
      <c r="I41" s="4" t="s">
        <v>792</v>
      </c>
      <c r="J41" s="4" t="s">
        <v>792</v>
      </c>
      <c r="K41" s="4" t="s">
        <v>792</v>
      </c>
      <c r="L41" s="4" t="s">
        <v>792</v>
      </c>
      <c r="M41" s="4" t="s">
        <v>792</v>
      </c>
      <c r="N41" s="4" t="s">
        <v>792</v>
      </c>
      <c r="O41" s="4" t="s">
        <v>793</v>
      </c>
      <c r="P41" s="4" t="s">
        <v>792</v>
      </c>
      <c r="Q41" s="4" t="s">
        <v>792</v>
      </c>
      <c r="R41" s="5"/>
    </row>
    <row r="42" ht="147" customHeight="1" spans="1:18">
      <c r="A42" s="2">
        <v>41</v>
      </c>
      <c r="B42" s="2">
        <v>3930480</v>
      </c>
      <c r="C42" s="3" t="s">
        <v>858</v>
      </c>
      <c r="D42" s="3" t="s">
        <v>859</v>
      </c>
      <c r="E42" s="3" t="s">
        <v>860</v>
      </c>
      <c r="F42" s="4" t="s">
        <v>792</v>
      </c>
      <c r="G42" s="4" t="s">
        <v>792</v>
      </c>
      <c r="H42" s="4" t="s">
        <v>792</v>
      </c>
      <c r="I42" s="4" t="s">
        <v>792</v>
      </c>
      <c r="J42" s="4" t="s">
        <v>792</v>
      </c>
      <c r="K42" s="4" t="s">
        <v>792</v>
      </c>
      <c r="L42" s="4" t="s">
        <v>792</v>
      </c>
      <c r="M42" s="4" t="s">
        <v>792</v>
      </c>
      <c r="N42" s="4" t="s">
        <v>792</v>
      </c>
      <c r="O42" s="4" t="s">
        <v>793</v>
      </c>
      <c r="P42" s="4" t="s">
        <v>792</v>
      </c>
      <c r="Q42" s="4" t="s">
        <v>792</v>
      </c>
      <c r="R42" s="5"/>
    </row>
    <row r="43" ht="94.5" customHeight="1" spans="1:18">
      <c r="A43" s="2">
        <v>42</v>
      </c>
      <c r="B43" s="2">
        <v>3937695</v>
      </c>
      <c r="C43" s="3" t="s">
        <v>349</v>
      </c>
      <c r="D43" s="3" t="s">
        <v>443</v>
      </c>
      <c r="E43" s="3" t="s">
        <v>444</v>
      </c>
      <c r="F43" s="4" t="s">
        <v>792</v>
      </c>
      <c r="G43" s="4" t="s">
        <v>792</v>
      </c>
      <c r="H43" s="4" t="s">
        <v>792</v>
      </c>
      <c r="I43" s="4" t="s">
        <v>792</v>
      </c>
      <c r="J43" s="4" t="s">
        <v>792</v>
      </c>
      <c r="K43" s="4" t="s">
        <v>792</v>
      </c>
      <c r="L43" s="4" t="s">
        <v>792</v>
      </c>
      <c r="M43" s="4" t="s">
        <v>792</v>
      </c>
      <c r="N43" s="4" t="s">
        <v>792</v>
      </c>
      <c r="O43" s="4" t="s">
        <v>793</v>
      </c>
      <c r="P43" s="4" t="s">
        <v>792</v>
      </c>
      <c r="Q43" s="4" t="s">
        <v>793</v>
      </c>
      <c r="R43" s="5"/>
    </row>
    <row r="44" ht="42.75" customHeight="1" spans="1:18">
      <c r="A44" s="2">
        <v>43</v>
      </c>
      <c r="B44" s="2">
        <v>4036792</v>
      </c>
      <c r="C44" s="3" t="s">
        <v>454</v>
      </c>
      <c r="D44" s="3" t="s">
        <v>861</v>
      </c>
      <c r="E44" s="3" t="s">
        <v>862</v>
      </c>
      <c r="F44" s="4" t="s">
        <v>792</v>
      </c>
      <c r="G44" s="4" t="s">
        <v>792</v>
      </c>
      <c r="H44" s="4" t="s">
        <v>792</v>
      </c>
      <c r="I44" s="4" t="s">
        <v>792</v>
      </c>
      <c r="J44" s="4" t="s">
        <v>792</v>
      </c>
      <c r="K44" s="4" t="s">
        <v>792</v>
      </c>
      <c r="L44" s="4" t="s">
        <v>792</v>
      </c>
      <c r="M44" s="4" t="s">
        <v>792</v>
      </c>
      <c r="N44" s="4" t="s">
        <v>792</v>
      </c>
      <c r="O44" s="4" t="s">
        <v>793</v>
      </c>
      <c r="P44" s="4" t="s">
        <v>792</v>
      </c>
      <c r="Q44" s="4" t="s">
        <v>793</v>
      </c>
      <c r="R44" s="5"/>
    </row>
    <row r="45" ht="94.5" customHeight="1" spans="1:18">
      <c r="A45" s="2">
        <v>44</v>
      </c>
      <c r="B45" s="2">
        <v>4040369</v>
      </c>
      <c r="C45" s="3" t="s">
        <v>349</v>
      </c>
      <c r="D45" s="3" t="s">
        <v>449</v>
      </c>
      <c r="E45" s="3" t="s">
        <v>450</v>
      </c>
      <c r="F45" s="4" t="s">
        <v>792</v>
      </c>
      <c r="G45" s="4" t="s">
        <v>792</v>
      </c>
      <c r="H45" s="4" t="s">
        <v>792</v>
      </c>
      <c r="I45" s="4" t="s">
        <v>792</v>
      </c>
      <c r="J45" s="4" t="s">
        <v>792</v>
      </c>
      <c r="K45" s="4" t="s">
        <v>792</v>
      </c>
      <c r="L45" s="4" t="s">
        <v>792</v>
      </c>
      <c r="M45" s="4" t="s">
        <v>792</v>
      </c>
      <c r="N45" s="4" t="s">
        <v>792</v>
      </c>
      <c r="O45" s="4" t="s">
        <v>793</v>
      </c>
      <c r="P45" s="4" t="s">
        <v>792</v>
      </c>
      <c r="Q45" s="4" t="s">
        <v>792</v>
      </c>
      <c r="R45" s="5"/>
    </row>
    <row r="46" ht="30" customHeight="1" spans="1:18">
      <c r="A46" s="2">
        <v>45</v>
      </c>
      <c r="B46" s="2">
        <v>4047383</v>
      </c>
      <c r="C46" s="3" t="s">
        <v>454</v>
      </c>
      <c r="D46" s="3" t="s">
        <v>455</v>
      </c>
      <c r="E46" s="3" t="s">
        <v>456</v>
      </c>
      <c r="F46" s="4" t="s">
        <v>792</v>
      </c>
      <c r="G46" s="4" t="s">
        <v>792</v>
      </c>
      <c r="H46" s="4" t="s">
        <v>792</v>
      </c>
      <c r="I46" s="4" t="s">
        <v>792</v>
      </c>
      <c r="J46" s="4" t="s">
        <v>792</v>
      </c>
      <c r="K46" s="4" t="s">
        <v>792</v>
      </c>
      <c r="L46" s="4" t="s">
        <v>792</v>
      </c>
      <c r="M46" s="4" t="s">
        <v>792</v>
      </c>
      <c r="N46" s="4" t="s">
        <v>792</v>
      </c>
      <c r="O46" s="4" t="s">
        <v>793</v>
      </c>
      <c r="P46" s="4" t="s">
        <v>792</v>
      </c>
      <c r="Q46" s="4" t="s">
        <v>792</v>
      </c>
      <c r="R46" s="5"/>
    </row>
    <row r="47" ht="69" customHeight="1" spans="1:18">
      <c r="A47" s="2">
        <v>46</v>
      </c>
      <c r="B47" s="2">
        <v>4155811</v>
      </c>
      <c r="C47" s="3" t="s">
        <v>454</v>
      </c>
      <c r="D47" s="3" t="s">
        <v>863</v>
      </c>
      <c r="E47" s="3" t="s">
        <v>500</v>
      </c>
      <c r="F47" s="4" t="s">
        <v>792</v>
      </c>
      <c r="G47" s="4" t="s">
        <v>792</v>
      </c>
      <c r="H47" s="4" t="s">
        <v>792</v>
      </c>
      <c r="I47" s="4" t="s">
        <v>792</v>
      </c>
      <c r="J47" s="4" t="s">
        <v>792</v>
      </c>
      <c r="K47" s="4" t="s">
        <v>792</v>
      </c>
      <c r="L47" s="4" t="s">
        <v>792</v>
      </c>
      <c r="M47" s="4" t="s">
        <v>792</v>
      </c>
      <c r="N47" s="4" t="s">
        <v>792</v>
      </c>
      <c r="O47" s="4" t="s">
        <v>793</v>
      </c>
      <c r="P47" s="4" t="s">
        <v>793</v>
      </c>
      <c r="Q47" s="4" t="s">
        <v>793</v>
      </c>
      <c r="R47" s="5"/>
    </row>
    <row r="48" ht="42.75" customHeight="1" spans="1:18">
      <c r="A48" s="2">
        <v>47</v>
      </c>
      <c r="B48" s="2">
        <v>4156778</v>
      </c>
      <c r="C48" s="3" t="s">
        <v>454</v>
      </c>
      <c r="D48" s="3" t="s">
        <v>864</v>
      </c>
      <c r="E48" s="3" t="s">
        <v>865</v>
      </c>
      <c r="F48" s="4" t="s">
        <v>792</v>
      </c>
      <c r="G48" s="4" t="s">
        <v>792</v>
      </c>
      <c r="H48" s="4" t="s">
        <v>792</v>
      </c>
      <c r="I48" s="4" t="s">
        <v>792</v>
      </c>
      <c r="J48" s="4" t="s">
        <v>792</v>
      </c>
      <c r="K48" s="4" t="s">
        <v>792</v>
      </c>
      <c r="L48" s="4" t="s">
        <v>792</v>
      </c>
      <c r="M48" s="4" t="s">
        <v>792</v>
      </c>
      <c r="N48" s="4" t="s">
        <v>792</v>
      </c>
      <c r="O48" s="4" t="s">
        <v>793</v>
      </c>
      <c r="P48" s="4" t="s">
        <v>793</v>
      </c>
      <c r="Q48" s="4" t="s">
        <v>792</v>
      </c>
      <c r="R48" s="5"/>
    </row>
    <row r="49" ht="42.75" customHeight="1" spans="1:18">
      <c r="A49" s="2">
        <v>48</v>
      </c>
      <c r="B49" s="2">
        <v>4158161</v>
      </c>
      <c r="C49" s="3" t="s">
        <v>454</v>
      </c>
      <c r="D49" s="3" t="s">
        <v>460</v>
      </c>
      <c r="E49" s="3" t="s">
        <v>461</v>
      </c>
      <c r="F49" s="4" t="s">
        <v>792</v>
      </c>
      <c r="G49" s="4" t="s">
        <v>792</v>
      </c>
      <c r="H49" s="4" t="s">
        <v>792</v>
      </c>
      <c r="I49" s="4" t="s">
        <v>792</v>
      </c>
      <c r="J49" s="4" t="s">
        <v>792</v>
      </c>
      <c r="K49" s="4" t="s">
        <v>792</v>
      </c>
      <c r="L49" s="4" t="s">
        <v>792</v>
      </c>
      <c r="M49" s="4" t="s">
        <v>792</v>
      </c>
      <c r="N49" s="4" t="s">
        <v>792</v>
      </c>
      <c r="O49" s="4" t="s">
        <v>793</v>
      </c>
      <c r="P49" s="4" t="s">
        <v>793</v>
      </c>
      <c r="Q49" s="4" t="s">
        <v>792</v>
      </c>
      <c r="R49" s="5"/>
    </row>
    <row r="50" ht="55.5" customHeight="1" spans="1:18">
      <c r="A50" s="2">
        <v>49</v>
      </c>
      <c r="B50" s="2">
        <v>4188510</v>
      </c>
      <c r="C50" s="3" t="s">
        <v>454</v>
      </c>
      <c r="D50" s="3" t="s">
        <v>866</v>
      </c>
      <c r="E50" s="3" t="s">
        <v>867</v>
      </c>
      <c r="F50" s="4" t="s">
        <v>792</v>
      </c>
      <c r="G50" s="4" t="s">
        <v>792</v>
      </c>
      <c r="H50" s="4" t="s">
        <v>792</v>
      </c>
      <c r="I50" s="4" t="s">
        <v>792</v>
      </c>
      <c r="J50" s="4" t="s">
        <v>792</v>
      </c>
      <c r="K50" s="4" t="s">
        <v>792</v>
      </c>
      <c r="L50" s="4" t="s">
        <v>792</v>
      </c>
      <c r="M50" s="4" t="s">
        <v>792</v>
      </c>
      <c r="N50" s="4" t="s">
        <v>792</v>
      </c>
      <c r="O50" s="4" t="s">
        <v>793</v>
      </c>
      <c r="P50" s="4" t="s">
        <v>793</v>
      </c>
      <c r="Q50" s="4" t="s">
        <v>792</v>
      </c>
      <c r="R50" s="5"/>
    </row>
    <row r="51" ht="94.5" customHeight="1" spans="1:18">
      <c r="A51" s="2">
        <v>50</v>
      </c>
      <c r="B51" s="2">
        <v>4215752</v>
      </c>
      <c r="C51" s="3" t="s">
        <v>263</v>
      </c>
      <c r="D51" s="3" t="s">
        <v>868</v>
      </c>
      <c r="E51" s="3" t="s">
        <v>869</v>
      </c>
      <c r="F51" s="4" t="s">
        <v>792</v>
      </c>
      <c r="G51" s="4" t="s">
        <v>792</v>
      </c>
      <c r="H51" s="4" t="s">
        <v>792</v>
      </c>
      <c r="I51" s="4" t="s">
        <v>792</v>
      </c>
      <c r="J51" s="4" t="s">
        <v>792</v>
      </c>
      <c r="K51" s="4" t="s">
        <v>792</v>
      </c>
      <c r="L51" s="4" t="s">
        <v>792</v>
      </c>
      <c r="M51" s="4" t="s">
        <v>792</v>
      </c>
      <c r="N51" s="4" t="s">
        <v>792</v>
      </c>
      <c r="O51" s="4" t="s">
        <v>793</v>
      </c>
      <c r="P51" s="4" t="s">
        <v>792</v>
      </c>
      <c r="Q51" s="4" t="s">
        <v>793</v>
      </c>
      <c r="R51" s="5" t="s">
        <v>870</v>
      </c>
    </row>
    <row r="52" ht="120.75" customHeight="1" spans="1:18">
      <c r="A52" s="2">
        <v>51</v>
      </c>
      <c r="B52" s="2">
        <v>4217808</v>
      </c>
      <c r="C52" s="3" t="s">
        <v>349</v>
      </c>
      <c r="D52" s="3" t="s">
        <v>871</v>
      </c>
      <c r="E52" s="3" t="s">
        <v>872</v>
      </c>
      <c r="F52" s="4" t="s">
        <v>792</v>
      </c>
      <c r="G52" s="4" t="s">
        <v>792</v>
      </c>
      <c r="H52" s="4" t="s">
        <v>792</v>
      </c>
      <c r="I52" s="4" t="s">
        <v>792</v>
      </c>
      <c r="J52" s="4" t="s">
        <v>792</v>
      </c>
      <c r="K52" s="4" t="s">
        <v>792</v>
      </c>
      <c r="L52" s="4" t="s">
        <v>792</v>
      </c>
      <c r="M52" s="4" t="s">
        <v>792</v>
      </c>
      <c r="N52" s="4" t="s">
        <v>792</v>
      </c>
      <c r="O52" s="4" t="s">
        <v>793</v>
      </c>
      <c r="P52" s="4" t="s">
        <v>793</v>
      </c>
      <c r="Q52" s="4" t="s">
        <v>792</v>
      </c>
      <c r="R52" s="5"/>
    </row>
    <row r="53" ht="120.75" customHeight="1" spans="1:18">
      <c r="A53" s="2">
        <v>52</v>
      </c>
      <c r="B53" s="2">
        <v>4265383</v>
      </c>
      <c r="C53" s="3" t="s">
        <v>826</v>
      </c>
      <c r="D53" s="3" t="s">
        <v>873</v>
      </c>
      <c r="E53" s="3" t="s">
        <v>874</v>
      </c>
      <c r="F53" s="4" t="s">
        <v>792</v>
      </c>
      <c r="G53" s="4" t="s">
        <v>792</v>
      </c>
      <c r="H53" s="4" t="s">
        <v>792</v>
      </c>
      <c r="I53" s="4" t="s">
        <v>792</v>
      </c>
      <c r="J53" s="4" t="s">
        <v>792</v>
      </c>
      <c r="K53" s="4" t="s">
        <v>792</v>
      </c>
      <c r="L53" s="4" t="s">
        <v>792</v>
      </c>
      <c r="M53" s="4" t="s">
        <v>792</v>
      </c>
      <c r="N53" s="4" t="s">
        <v>792</v>
      </c>
      <c r="O53" s="4" t="s">
        <v>793</v>
      </c>
      <c r="P53" s="4" t="s">
        <v>792</v>
      </c>
      <c r="Q53" s="4" t="s">
        <v>793</v>
      </c>
      <c r="R53" s="5"/>
    </row>
    <row r="54" ht="69" customHeight="1" spans="1:18">
      <c r="A54" s="2">
        <v>53</v>
      </c>
      <c r="B54" s="2">
        <v>4276724</v>
      </c>
      <c r="C54" s="3" t="s">
        <v>875</v>
      </c>
      <c r="D54" s="3" t="s">
        <v>876</v>
      </c>
      <c r="E54" s="3" t="s">
        <v>877</v>
      </c>
      <c r="F54" s="4" t="s">
        <v>792</v>
      </c>
      <c r="G54" s="4" t="s">
        <v>792</v>
      </c>
      <c r="H54" s="4" t="s">
        <v>792</v>
      </c>
      <c r="I54" s="4" t="s">
        <v>792</v>
      </c>
      <c r="J54" s="4" t="s">
        <v>792</v>
      </c>
      <c r="K54" s="4" t="s">
        <v>792</v>
      </c>
      <c r="L54" s="4" t="s">
        <v>792</v>
      </c>
      <c r="M54" s="4" t="s">
        <v>792</v>
      </c>
      <c r="N54" s="4" t="s">
        <v>792</v>
      </c>
      <c r="O54" s="4" t="s">
        <v>793</v>
      </c>
      <c r="P54" s="4" t="s">
        <v>792</v>
      </c>
      <c r="Q54" s="4" t="s">
        <v>793</v>
      </c>
      <c r="R54" s="5" t="s">
        <v>878</v>
      </c>
    </row>
    <row r="55" ht="108" customHeight="1" spans="1:18">
      <c r="A55" s="2">
        <v>54</v>
      </c>
      <c r="B55" s="2">
        <v>4310607</v>
      </c>
      <c r="C55" s="3" t="s">
        <v>826</v>
      </c>
      <c r="D55" s="3" t="s">
        <v>879</v>
      </c>
      <c r="E55" s="3" t="s">
        <v>880</v>
      </c>
      <c r="F55" s="4" t="s">
        <v>792</v>
      </c>
      <c r="G55" s="4" t="s">
        <v>792</v>
      </c>
      <c r="H55" s="4" t="s">
        <v>792</v>
      </c>
      <c r="I55" s="4" t="s">
        <v>792</v>
      </c>
      <c r="J55" s="4" t="s">
        <v>792</v>
      </c>
      <c r="K55" s="4" t="s">
        <v>792</v>
      </c>
      <c r="L55" s="4" t="s">
        <v>792</v>
      </c>
      <c r="M55" s="4" t="s">
        <v>792</v>
      </c>
      <c r="N55" s="4" t="s">
        <v>793</v>
      </c>
      <c r="O55" s="4" t="s">
        <v>793</v>
      </c>
      <c r="P55" s="4" t="s">
        <v>792</v>
      </c>
      <c r="Q55" s="4" t="s">
        <v>792</v>
      </c>
      <c r="R55" s="5"/>
    </row>
    <row r="56" ht="30" customHeight="1" spans="1:18">
      <c r="A56" s="2">
        <v>55</v>
      </c>
      <c r="B56" s="2">
        <v>4378732</v>
      </c>
      <c r="C56" s="3" t="s">
        <v>263</v>
      </c>
      <c r="D56" s="3" t="s">
        <v>771</v>
      </c>
      <c r="E56" s="3" t="s">
        <v>772</v>
      </c>
      <c r="F56" s="4" t="s">
        <v>792</v>
      </c>
      <c r="G56" s="4" t="s">
        <v>792</v>
      </c>
      <c r="H56" s="4" t="s">
        <v>792</v>
      </c>
      <c r="I56" s="4" t="s">
        <v>792</v>
      </c>
      <c r="J56" s="4" t="s">
        <v>792</v>
      </c>
      <c r="K56" s="4" t="s">
        <v>792</v>
      </c>
      <c r="L56" s="4" t="s">
        <v>792</v>
      </c>
      <c r="M56" s="4" t="s">
        <v>792</v>
      </c>
      <c r="N56" s="4" t="s">
        <v>792</v>
      </c>
      <c r="O56" s="4" t="s">
        <v>793</v>
      </c>
      <c r="P56" s="4" t="s">
        <v>792</v>
      </c>
      <c r="Q56" s="4" t="s">
        <v>792</v>
      </c>
      <c r="R56" s="5"/>
    </row>
    <row r="57" ht="94.5" customHeight="1" spans="1:18">
      <c r="A57" s="2">
        <v>56</v>
      </c>
      <c r="B57" s="2">
        <v>4379700</v>
      </c>
      <c r="C57" s="3" t="s">
        <v>349</v>
      </c>
      <c r="D57" s="3" t="s">
        <v>494</v>
      </c>
      <c r="E57" s="3" t="s">
        <v>495</v>
      </c>
      <c r="F57" s="4" t="s">
        <v>792</v>
      </c>
      <c r="G57" s="4" t="s">
        <v>792</v>
      </c>
      <c r="H57" s="4" t="s">
        <v>792</v>
      </c>
      <c r="I57" s="4" t="s">
        <v>792</v>
      </c>
      <c r="J57" s="4" t="s">
        <v>792</v>
      </c>
      <c r="K57" s="4" t="s">
        <v>792</v>
      </c>
      <c r="L57" s="4" t="s">
        <v>792</v>
      </c>
      <c r="M57" s="4" t="s">
        <v>792</v>
      </c>
      <c r="N57" s="4" t="s">
        <v>792</v>
      </c>
      <c r="O57" s="4" t="s">
        <v>793</v>
      </c>
      <c r="P57" s="4" t="s">
        <v>792</v>
      </c>
      <c r="Q57" s="4" t="s">
        <v>793</v>
      </c>
      <c r="R57" s="5"/>
    </row>
    <row r="58" ht="55.5" customHeight="1" spans="1:18">
      <c r="A58" s="2">
        <v>57</v>
      </c>
      <c r="B58" s="2">
        <v>4381984</v>
      </c>
      <c r="C58" s="3" t="s">
        <v>454</v>
      </c>
      <c r="D58" s="3" t="s">
        <v>499</v>
      </c>
      <c r="E58" s="3" t="s">
        <v>500</v>
      </c>
      <c r="F58" s="4" t="s">
        <v>792</v>
      </c>
      <c r="G58" s="4" t="s">
        <v>792</v>
      </c>
      <c r="H58" s="4" t="s">
        <v>792</v>
      </c>
      <c r="I58" s="4" t="s">
        <v>792</v>
      </c>
      <c r="J58" s="4" t="s">
        <v>792</v>
      </c>
      <c r="K58" s="4" t="s">
        <v>792</v>
      </c>
      <c r="L58" s="4" t="s">
        <v>792</v>
      </c>
      <c r="M58" s="4" t="s">
        <v>792</v>
      </c>
      <c r="N58" s="4" t="s">
        <v>792</v>
      </c>
      <c r="O58" s="4" t="s">
        <v>793</v>
      </c>
      <c r="P58" s="4" t="s">
        <v>793</v>
      </c>
      <c r="Q58" s="4" t="s">
        <v>793</v>
      </c>
      <c r="R58" s="5"/>
    </row>
    <row r="59" ht="42.75" customHeight="1" spans="1:18">
      <c r="A59" s="2">
        <v>58</v>
      </c>
      <c r="B59" s="2">
        <v>4546718</v>
      </c>
      <c r="C59" s="3" t="s">
        <v>737</v>
      </c>
      <c r="D59" s="3" t="s">
        <v>881</v>
      </c>
      <c r="E59" s="3" t="s">
        <v>835</v>
      </c>
      <c r="F59" s="4" t="s">
        <v>792</v>
      </c>
      <c r="G59" s="4" t="s">
        <v>792</v>
      </c>
      <c r="H59" s="4" t="s">
        <v>792</v>
      </c>
      <c r="I59" s="4" t="s">
        <v>792</v>
      </c>
      <c r="J59" s="4" t="s">
        <v>792</v>
      </c>
      <c r="K59" s="4" t="s">
        <v>792</v>
      </c>
      <c r="L59" s="4" t="s">
        <v>792</v>
      </c>
      <c r="M59" s="4" t="s">
        <v>792</v>
      </c>
      <c r="N59" s="4" t="s">
        <v>792</v>
      </c>
      <c r="O59" s="4" t="s">
        <v>793</v>
      </c>
      <c r="P59" s="4" t="s">
        <v>792</v>
      </c>
      <c r="Q59" s="4" t="s">
        <v>793</v>
      </c>
      <c r="R59" s="5"/>
    </row>
    <row r="60" ht="42.75" customHeight="1" spans="1:18">
      <c r="A60" s="2">
        <v>59</v>
      </c>
      <c r="B60" s="2">
        <v>4921963</v>
      </c>
      <c r="C60" s="3" t="s">
        <v>728</v>
      </c>
      <c r="D60" s="3" t="s">
        <v>729</v>
      </c>
      <c r="E60" s="3" t="s">
        <v>730</v>
      </c>
      <c r="F60" s="4" t="s">
        <v>792</v>
      </c>
      <c r="G60" s="4" t="s">
        <v>792</v>
      </c>
      <c r="H60" s="4" t="s">
        <v>792</v>
      </c>
      <c r="I60" s="4" t="s">
        <v>792</v>
      </c>
      <c r="J60" s="4" t="s">
        <v>792</v>
      </c>
      <c r="K60" s="4" t="s">
        <v>792</v>
      </c>
      <c r="L60" s="4" t="s">
        <v>792</v>
      </c>
      <c r="M60" s="4" t="s">
        <v>792</v>
      </c>
      <c r="N60" s="4" t="s">
        <v>792</v>
      </c>
      <c r="O60" s="4" t="s">
        <v>793</v>
      </c>
      <c r="P60" s="4" t="s">
        <v>792</v>
      </c>
      <c r="Q60" s="4" t="s">
        <v>792</v>
      </c>
      <c r="R60" s="5"/>
    </row>
    <row r="61" ht="120.75" customHeight="1" spans="1:18">
      <c r="A61" s="2">
        <v>60</v>
      </c>
      <c r="B61" s="2">
        <v>4977587</v>
      </c>
      <c r="C61" s="3" t="s">
        <v>858</v>
      </c>
      <c r="D61" s="3" t="s">
        <v>882</v>
      </c>
      <c r="E61" s="3" t="s">
        <v>883</v>
      </c>
      <c r="F61" s="4" t="s">
        <v>792</v>
      </c>
      <c r="G61" s="4" t="s">
        <v>792</v>
      </c>
      <c r="H61" s="4" t="s">
        <v>792</v>
      </c>
      <c r="I61" s="4" t="s">
        <v>792</v>
      </c>
      <c r="J61" s="4" t="s">
        <v>792</v>
      </c>
      <c r="K61" s="4" t="s">
        <v>792</v>
      </c>
      <c r="L61" s="4" t="s">
        <v>792</v>
      </c>
      <c r="M61" s="4" t="s">
        <v>792</v>
      </c>
      <c r="N61" s="4" t="s">
        <v>792</v>
      </c>
      <c r="O61" s="4" t="s">
        <v>793</v>
      </c>
      <c r="P61" s="4" t="s">
        <v>792</v>
      </c>
      <c r="Q61" s="4" t="s">
        <v>792</v>
      </c>
      <c r="R61" s="5"/>
    </row>
    <row r="62" ht="108" customHeight="1" spans="1:18">
      <c r="A62" s="2">
        <v>61</v>
      </c>
      <c r="B62" s="2">
        <v>5017463</v>
      </c>
      <c r="C62" s="3" t="s">
        <v>349</v>
      </c>
      <c r="D62" s="3" t="s">
        <v>515</v>
      </c>
      <c r="E62" s="3" t="s">
        <v>495</v>
      </c>
      <c r="F62" s="4" t="s">
        <v>792</v>
      </c>
      <c r="G62" s="4" t="s">
        <v>792</v>
      </c>
      <c r="H62" s="4" t="s">
        <v>792</v>
      </c>
      <c r="I62" s="4" t="s">
        <v>792</v>
      </c>
      <c r="J62" s="4" t="s">
        <v>792</v>
      </c>
      <c r="K62" s="4" t="s">
        <v>792</v>
      </c>
      <c r="L62" s="4" t="s">
        <v>792</v>
      </c>
      <c r="M62" s="4" t="s">
        <v>792</v>
      </c>
      <c r="N62" s="4" t="s">
        <v>792</v>
      </c>
      <c r="O62" s="4" t="s">
        <v>793</v>
      </c>
      <c r="P62" s="4" t="s">
        <v>792</v>
      </c>
      <c r="Q62" s="4" t="s">
        <v>793</v>
      </c>
      <c r="R62" s="5"/>
    </row>
    <row r="63" ht="211.5" customHeight="1" spans="1:18">
      <c r="A63" s="2">
        <v>62</v>
      </c>
      <c r="B63" s="2">
        <v>5520878</v>
      </c>
      <c r="C63" s="3" t="s">
        <v>263</v>
      </c>
      <c r="D63" s="3" t="s">
        <v>523</v>
      </c>
      <c r="E63" s="3" t="s">
        <v>524</v>
      </c>
      <c r="F63" s="4" t="s">
        <v>792</v>
      </c>
      <c r="G63" s="4" t="s">
        <v>792</v>
      </c>
      <c r="H63" s="4" t="s">
        <v>792</v>
      </c>
      <c r="I63" s="4" t="s">
        <v>792</v>
      </c>
      <c r="J63" s="4" t="s">
        <v>792</v>
      </c>
      <c r="K63" s="4" t="s">
        <v>792</v>
      </c>
      <c r="L63" s="4" t="s">
        <v>792</v>
      </c>
      <c r="M63" s="4" t="s">
        <v>792</v>
      </c>
      <c r="N63" s="4" t="s">
        <v>792</v>
      </c>
      <c r="O63" s="4" t="s">
        <v>793</v>
      </c>
      <c r="P63" s="4" t="s">
        <v>792</v>
      </c>
      <c r="Q63" s="4" t="s">
        <v>792</v>
      </c>
      <c r="R63" s="5"/>
    </row>
    <row r="64" ht="55.5" customHeight="1" spans="1:18">
      <c r="A64" s="2">
        <v>63</v>
      </c>
      <c r="B64" s="2">
        <v>5530517</v>
      </c>
      <c r="C64" s="3" t="s">
        <v>584</v>
      </c>
      <c r="D64" s="3" t="s">
        <v>884</v>
      </c>
      <c r="E64" s="3" t="s">
        <v>885</v>
      </c>
      <c r="F64" s="4" t="s">
        <v>792</v>
      </c>
      <c r="G64" s="4" t="s">
        <v>792</v>
      </c>
      <c r="H64" s="4" t="s">
        <v>792</v>
      </c>
      <c r="I64" s="4" t="s">
        <v>792</v>
      </c>
      <c r="J64" s="4" t="s">
        <v>792</v>
      </c>
      <c r="K64" s="4" t="s">
        <v>792</v>
      </c>
      <c r="L64" s="4" t="s">
        <v>792</v>
      </c>
      <c r="M64" s="4" t="s">
        <v>792</v>
      </c>
      <c r="N64" s="4" t="s">
        <v>793</v>
      </c>
      <c r="O64" s="4" t="s">
        <v>793</v>
      </c>
      <c r="P64" s="4" t="s">
        <v>793</v>
      </c>
      <c r="Q64" s="4" t="s">
        <v>792</v>
      </c>
      <c r="R64" s="5"/>
    </row>
    <row r="65" ht="55.5" customHeight="1" spans="1:18">
      <c r="A65" s="2">
        <v>64</v>
      </c>
      <c r="B65" s="2">
        <v>5574210</v>
      </c>
      <c r="C65" s="3" t="s">
        <v>454</v>
      </c>
      <c r="D65" s="3" t="s">
        <v>886</v>
      </c>
      <c r="E65" s="3" t="s">
        <v>887</v>
      </c>
      <c r="F65" s="4" t="s">
        <v>792</v>
      </c>
      <c r="G65" s="4" t="s">
        <v>792</v>
      </c>
      <c r="H65" s="4" t="s">
        <v>792</v>
      </c>
      <c r="I65" s="4" t="s">
        <v>792</v>
      </c>
      <c r="J65" s="4" t="s">
        <v>792</v>
      </c>
      <c r="K65" s="4" t="s">
        <v>792</v>
      </c>
      <c r="L65" s="4" t="s">
        <v>792</v>
      </c>
      <c r="M65" s="4" t="s">
        <v>792</v>
      </c>
      <c r="N65" s="4" t="s">
        <v>792</v>
      </c>
      <c r="O65" s="4" t="s">
        <v>793</v>
      </c>
      <c r="P65" s="4" t="s">
        <v>793</v>
      </c>
      <c r="Q65" s="4" t="s">
        <v>792</v>
      </c>
      <c r="R65" s="5"/>
    </row>
    <row r="66" ht="69" customHeight="1" spans="1:18">
      <c r="A66" s="2">
        <v>65</v>
      </c>
      <c r="B66" s="2">
        <v>5574297</v>
      </c>
      <c r="C66" s="3" t="s">
        <v>888</v>
      </c>
      <c r="D66" s="3" t="s">
        <v>889</v>
      </c>
      <c r="E66" s="3" t="s">
        <v>890</v>
      </c>
      <c r="F66" s="4" t="s">
        <v>792</v>
      </c>
      <c r="G66" s="4" t="s">
        <v>792</v>
      </c>
      <c r="H66" s="4" t="s">
        <v>792</v>
      </c>
      <c r="I66" s="4" t="s">
        <v>792</v>
      </c>
      <c r="J66" s="4" t="s">
        <v>792</v>
      </c>
      <c r="K66" s="4" t="s">
        <v>792</v>
      </c>
      <c r="L66" s="4" t="s">
        <v>792</v>
      </c>
      <c r="M66" s="4" t="s">
        <v>792</v>
      </c>
      <c r="N66" s="4" t="s">
        <v>792</v>
      </c>
      <c r="O66" s="4" t="s">
        <v>793</v>
      </c>
      <c r="P66" s="4" t="s">
        <v>793</v>
      </c>
      <c r="Q66" s="4" t="s">
        <v>792</v>
      </c>
      <c r="R66" s="5"/>
    </row>
    <row r="67" ht="108" customHeight="1" spans="1:18">
      <c r="A67" s="2">
        <v>66</v>
      </c>
      <c r="B67" s="2">
        <v>5702604</v>
      </c>
      <c r="C67" s="3" t="s">
        <v>349</v>
      </c>
      <c r="D67" s="3" t="s">
        <v>526</v>
      </c>
      <c r="E67" s="3" t="s">
        <v>527</v>
      </c>
      <c r="F67" s="4" t="s">
        <v>792</v>
      </c>
      <c r="G67" s="4" t="s">
        <v>792</v>
      </c>
      <c r="H67" s="4" t="s">
        <v>792</v>
      </c>
      <c r="I67" s="4" t="s">
        <v>792</v>
      </c>
      <c r="J67" s="4" t="s">
        <v>792</v>
      </c>
      <c r="K67" s="4" t="s">
        <v>792</v>
      </c>
      <c r="L67" s="4" t="s">
        <v>792</v>
      </c>
      <c r="M67" s="4" t="s">
        <v>792</v>
      </c>
      <c r="N67" s="4" t="s">
        <v>792</v>
      </c>
      <c r="O67" s="4" t="s">
        <v>793</v>
      </c>
      <c r="P67" s="4" t="s">
        <v>793</v>
      </c>
      <c r="Q67" s="4" t="s">
        <v>792</v>
      </c>
      <c r="R67" s="5"/>
    </row>
    <row r="68" ht="55.5" customHeight="1" spans="1:18">
      <c r="A68" s="2">
        <v>67</v>
      </c>
      <c r="B68" s="2">
        <v>5883587</v>
      </c>
      <c r="C68" s="3" t="s">
        <v>454</v>
      </c>
      <c r="D68" s="3" t="s">
        <v>536</v>
      </c>
      <c r="E68" s="3" t="s">
        <v>537</v>
      </c>
      <c r="F68" s="4" t="s">
        <v>792</v>
      </c>
      <c r="G68" s="4" t="s">
        <v>792</v>
      </c>
      <c r="H68" s="4" t="s">
        <v>792</v>
      </c>
      <c r="I68" s="4" t="s">
        <v>792</v>
      </c>
      <c r="J68" s="4" t="s">
        <v>792</v>
      </c>
      <c r="K68" s="4" t="s">
        <v>792</v>
      </c>
      <c r="L68" s="4" t="s">
        <v>792</v>
      </c>
      <c r="M68" s="4" t="s">
        <v>792</v>
      </c>
      <c r="N68" s="4" t="s">
        <v>792</v>
      </c>
      <c r="O68" s="4" t="s">
        <v>793</v>
      </c>
      <c r="P68" s="4" t="s">
        <v>793</v>
      </c>
      <c r="Q68" s="4" t="s">
        <v>792</v>
      </c>
      <c r="R68" s="5"/>
    </row>
    <row r="69" ht="94.5" customHeight="1" spans="1:18">
      <c r="A69" s="2">
        <v>68</v>
      </c>
      <c r="B69" s="2">
        <v>5884376</v>
      </c>
      <c r="C69" s="3" t="s">
        <v>891</v>
      </c>
      <c r="D69" s="3" t="s">
        <v>892</v>
      </c>
      <c r="E69" s="3" t="s">
        <v>893</v>
      </c>
      <c r="F69" s="4" t="s">
        <v>792</v>
      </c>
      <c r="G69" s="4" t="s">
        <v>792</v>
      </c>
      <c r="H69" s="4" t="s">
        <v>792</v>
      </c>
      <c r="I69" s="4" t="s">
        <v>792</v>
      </c>
      <c r="J69" s="4" t="s">
        <v>792</v>
      </c>
      <c r="K69" s="4" t="s">
        <v>792</v>
      </c>
      <c r="L69" s="4" t="s">
        <v>792</v>
      </c>
      <c r="M69" s="4" t="s">
        <v>792</v>
      </c>
      <c r="N69" s="4" t="s">
        <v>792</v>
      </c>
      <c r="O69" s="4" t="s">
        <v>793</v>
      </c>
      <c r="P69" s="4" t="s">
        <v>793</v>
      </c>
      <c r="Q69" s="4" t="s">
        <v>792</v>
      </c>
      <c r="R69" s="5"/>
    </row>
    <row r="70" ht="94.5" customHeight="1" spans="1:18">
      <c r="A70" s="2">
        <v>69</v>
      </c>
      <c r="B70" s="2">
        <v>5884752</v>
      </c>
      <c r="C70" s="3" t="s">
        <v>888</v>
      </c>
      <c r="D70" s="3" t="s">
        <v>894</v>
      </c>
      <c r="E70" s="3" t="s">
        <v>895</v>
      </c>
      <c r="F70" s="4" t="s">
        <v>792</v>
      </c>
      <c r="G70" s="4" t="s">
        <v>792</v>
      </c>
      <c r="H70" s="4" t="s">
        <v>792</v>
      </c>
      <c r="I70" s="4" t="s">
        <v>792</v>
      </c>
      <c r="J70" s="4" t="s">
        <v>792</v>
      </c>
      <c r="K70" s="4" t="s">
        <v>792</v>
      </c>
      <c r="L70" s="4" t="s">
        <v>792</v>
      </c>
      <c r="M70" s="4" t="s">
        <v>792</v>
      </c>
      <c r="N70" s="4" t="s">
        <v>792</v>
      </c>
      <c r="O70" s="4" t="s">
        <v>793</v>
      </c>
      <c r="P70" s="4" t="s">
        <v>793</v>
      </c>
      <c r="Q70" s="4" t="s">
        <v>792</v>
      </c>
      <c r="R70" s="5"/>
    </row>
    <row r="71" ht="42.75" customHeight="1" spans="1:18">
      <c r="A71" s="2">
        <v>70</v>
      </c>
      <c r="B71" s="2">
        <v>5886716</v>
      </c>
      <c r="C71" s="3" t="s">
        <v>454</v>
      </c>
      <c r="D71" s="3" t="s">
        <v>896</v>
      </c>
      <c r="E71" s="3" t="s">
        <v>897</v>
      </c>
      <c r="F71" s="4" t="s">
        <v>792</v>
      </c>
      <c r="G71" s="4" t="s">
        <v>792</v>
      </c>
      <c r="H71" s="4" t="s">
        <v>792</v>
      </c>
      <c r="I71" s="4" t="s">
        <v>792</v>
      </c>
      <c r="J71" s="4" t="s">
        <v>792</v>
      </c>
      <c r="K71" s="4" t="s">
        <v>792</v>
      </c>
      <c r="L71" s="4" t="s">
        <v>792</v>
      </c>
      <c r="M71" s="4" t="s">
        <v>792</v>
      </c>
      <c r="N71" s="4" t="s">
        <v>792</v>
      </c>
      <c r="O71" s="4" t="s">
        <v>793</v>
      </c>
      <c r="P71" s="4" t="s">
        <v>793</v>
      </c>
      <c r="Q71" s="4" t="s">
        <v>793</v>
      </c>
      <c r="R71" s="5"/>
    </row>
    <row r="72" ht="55.5" customHeight="1" spans="1:18">
      <c r="A72" s="2">
        <v>71</v>
      </c>
      <c r="B72" s="2">
        <v>5888717</v>
      </c>
      <c r="C72" s="3" t="s">
        <v>263</v>
      </c>
      <c r="D72" s="3" t="s">
        <v>542</v>
      </c>
      <c r="E72" s="3" t="s">
        <v>176</v>
      </c>
      <c r="F72" s="4" t="s">
        <v>792</v>
      </c>
      <c r="G72" s="4" t="s">
        <v>792</v>
      </c>
      <c r="H72" s="4" t="s">
        <v>792</v>
      </c>
      <c r="I72" s="4" t="s">
        <v>792</v>
      </c>
      <c r="J72" s="4" t="s">
        <v>792</v>
      </c>
      <c r="K72" s="4" t="s">
        <v>792</v>
      </c>
      <c r="L72" s="4" t="s">
        <v>792</v>
      </c>
      <c r="M72" s="4" t="s">
        <v>792</v>
      </c>
      <c r="N72" s="4" t="s">
        <v>793</v>
      </c>
      <c r="O72" s="4" t="s">
        <v>793</v>
      </c>
      <c r="P72" s="4" t="s">
        <v>793</v>
      </c>
      <c r="Q72" s="4" t="s">
        <v>792</v>
      </c>
      <c r="R72" s="5"/>
    </row>
    <row r="73" ht="55.5" customHeight="1" spans="1:18">
      <c r="A73" s="2">
        <v>72</v>
      </c>
      <c r="B73" s="2">
        <v>7943787</v>
      </c>
      <c r="C73" s="3" t="s">
        <v>454</v>
      </c>
      <c r="D73" s="3" t="s">
        <v>555</v>
      </c>
      <c r="E73" s="3" t="s">
        <v>500</v>
      </c>
      <c r="F73" s="4" t="s">
        <v>792</v>
      </c>
      <c r="G73" s="4" t="s">
        <v>792</v>
      </c>
      <c r="H73" s="4" t="s">
        <v>792</v>
      </c>
      <c r="I73" s="4" t="s">
        <v>792</v>
      </c>
      <c r="J73" s="4" t="s">
        <v>792</v>
      </c>
      <c r="K73" s="4" t="s">
        <v>792</v>
      </c>
      <c r="L73" s="4" t="s">
        <v>792</v>
      </c>
      <c r="M73" s="4" t="s">
        <v>792</v>
      </c>
      <c r="N73" s="4" t="s">
        <v>792</v>
      </c>
      <c r="O73" s="4" t="s">
        <v>793</v>
      </c>
      <c r="P73" s="4" t="s">
        <v>793</v>
      </c>
      <c r="Q73" s="4" t="s">
        <v>792</v>
      </c>
      <c r="R73" s="5"/>
    </row>
    <row r="74" ht="55.5" customHeight="1" spans="1:18">
      <c r="A74" s="2">
        <v>73</v>
      </c>
      <c r="B74" s="2">
        <v>8214296</v>
      </c>
      <c r="C74" s="3" t="s">
        <v>263</v>
      </c>
      <c r="D74" s="3" t="s">
        <v>898</v>
      </c>
      <c r="E74" s="3" t="s">
        <v>899</v>
      </c>
      <c r="F74" s="4" t="s">
        <v>792</v>
      </c>
      <c r="G74" s="4" t="s">
        <v>792</v>
      </c>
      <c r="H74" s="4" t="s">
        <v>792</v>
      </c>
      <c r="I74" s="4" t="s">
        <v>792</v>
      </c>
      <c r="J74" s="4" t="s">
        <v>792</v>
      </c>
      <c r="K74" s="4" t="s">
        <v>792</v>
      </c>
      <c r="L74" s="4" t="s">
        <v>792</v>
      </c>
      <c r="M74" s="4" t="s">
        <v>792</v>
      </c>
      <c r="N74" s="4" t="s">
        <v>792</v>
      </c>
      <c r="O74" s="4" t="s">
        <v>793</v>
      </c>
      <c r="P74" s="4" t="s">
        <v>792</v>
      </c>
      <c r="Q74" s="4" t="s">
        <v>792</v>
      </c>
      <c r="R74" s="5"/>
    </row>
    <row r="75" ht="30" customHeight="1" spans="1:18">
      <c r="A75" s="2">
        <v>74</v>
      </c>
      <c r="B75" s="2">
        <v>8264993</v>
      </c>
      <c r="C75" s="3" t="s">
        <v>737</v>
      </c>
      <c r="D75" s="3" t="s">
        <v>900</v>
      </c>
      <c r="E75" s="3" t="s">
        <v>901</v>
      </c>
      <c r="F75" s="4" t="s">
        <v>792</v>
      </c>
      <c r="G75" s="4" t="s">
        <v>792</v>
      </c>
      <c r="H75" s="4" t="s">
        <v>792</v>
      </c>
      <c r="I75" s="4" t="s">
        <v>792</v>
      </c>
      <c r="J75" s="4" t="s">
        <v>792</v>
      </c>
      <c r="K75" s="4" t="s">
        <v>792</v>
      </c>
      <c r="L75" s="4" t="s">
        <v>792</v>
      </c>
      <c r="M75" s="4" t="s">
        <v>792</v>
      </c>
      <c r="N75" s="4" t="s">
        <v>792</v>
      </c>
      <c r="O75" s="4" t="s">
        <v>793</v>
      </c>
      <c r="P75" s="4" t="s">
        <v>792</v>
      </c>
      <c r="Q75" s="4" t="s">
        <v>792</v>
      </c>
      <c r="R75" s="5"/>
    </row>
    <row r="76" ht="94.5" customHeight="1" spans="1:18">
      <c r="A76" s="2">
        <v>75</v>
      </c>
      <c r="B76" s="2">
        <v>8294385</v>
      </c>
      <c r="C76" s="3" t="s">
        <v>888</v>
      </c>
      <c r="D76" s="3" t="s">
        <v>902</v>
      </c>
      <c r="E76" s="3" t="s">
        <v>903</v>
      </c>
      <c r="F76" s="4" t="s">
        <v>792</v>
      </c>
      <c r="G76" s="4" t="s">
        <v>792</v>
      </c>
      <c r="H76" s="4" t="s">
        <v>792</v>
      </c>
      <c r="I76" s="4" t="s">
        <v>792</v>
      </c>
      <c r="J76" s="4" t="s">
        <v>792</v>
      </c>
      <c r="K76" s="4" t="s">
        <v>792</v>
      </c>
      <c r="L76" s="4" t="s">
        <v>792</v>
      </c>
      <c r="M76" s="4" t="s">
        <v>792</v>
      </c>
      <c r="N76" s="4" t="s">
        <v>792</v>
      </c>
      <c r="O76" s="4" t="s">
        <v>793</v>
      </c>
      <c r="P76" s="4" t="s">
        <v>793</v>
      </c>
      <c r="Q76" s="4" t="s">
        <v>793</v>
      </c>
      <c r="R76" s="5"/>
    </row>
    <row r="77" ht="55.5" customHeight="1" spans="1:18">
      <c r="A77" s="2">
        <v>76</v>
      </c>
      <c r="B77" s="2">
        <v>8306530</v>
      </c>
      <c r="C77" s="3" t="s">
        <v>904</v>
      </c>
      <c r="D77" s="3" t="s">
        <v>905</v>
      </c>
      <c r="E77" s="3" t="s">
        <v>906</v>
      </c>
      <c r="F77" s="4" t="s">
        <v>792</v>
      </c>
      <c r="G77" s="4" t="s">
        <v>792</v>
      </c>
      <c r="H77" s="4" t="s">
        <v>792</v>
      </c>
      <c r="I77" s="4" t="s">
        <v>792</v>
      </c>
      <c r="J77" s="4" t="s">
        <v>792</v>
      </c>
      <c r="K77" s="4" t="s">
        <v>792</v>
      </c>
      <c r="L77" s="4" t="s">
        <v>792</v>
      </c>
      <c r="M77" s="4" t="s">
        <v>792</v>
      </c>
      <c r="N77" s="4" t="s">
        <v>792</v>
      </c>
      <c r="O77" s="4" t="s">
        <v>793</v>
      </c>
      <c r="P77" s="4" t="s">
        <v>793</v>
      </c>
      <c r="Q77" s="4" t="s">
        <v>793</v>
      </c>
      <c r="R77" s="5"/>
    </row>
    <row r="78" ht="55.5" customHeight="1" spans="1:18">
      <c r="A78" s="2">
        <v>77</v>
      </c>
      <c r="B78" s="2">
        <v>8328420</v>
      </c>
      <c r="C78" s="3" t="s">
        <v>904</v>
      </c>
      <c r="D78" s="3" t="s">
        <v>907</v>
      </c>
      <c r="E78" s="3" t="s">
        <v>908</v>
      </c>
      <c r="F78" s="4" t="s">
        <v>792</v>
      </c>
      <c r="G78" s="4" t="s">
        <v>792</v>
      </c>
      <c r="H78" s="4" t="s">
        <v>792</v>
      </c>
      <c r="I78" s="4" t="s">
        <v>792</v>
      </c>
      <c r="J78" s="4" t="s">
        <v>792</v>
      </c>
      <c r="K78" s="4" t="s">
        <v>792</v>
      </c>
      <c r="L78" s="4" t="s">
        <v>792</v>
      </c>
      <c r="M78" s="4" t="s">
        <v>792</v>
      </c>
      <c r="N78" s="4" t="s">
        <v>792</v>
      </c>
      <c r="O78" s="4" t="s">
        <v>793</v>
      </c>
      <c r="P78" s="4" t="s">
        <v>793</v>
      </c>
      <c r="Q78" s="4" t="s">
        <v>792</v>
      </c>
      <c r="R78" s="5"/>
    </row>
    <row r="79" ht="69" customHeight="1" spans="1:18">
      <c r="A79" s="2">
        <v>78</v>
      </c>
      <c r="B79" s="2">
        <v>8351903</v>
      </c>
      <c r="C79" s="3" t="s">
        <v>454</v>
      </c>
      <c r="D79" s="3" t="s">
        <v>909</v>
      </c>
      <c r="E79" s="3" t="s">
        <v>910</v>
      </c>
      <c r="F79" s="4" t="s">
        <v>792</v>
      </c>
      <c r="G79" s="4" t="s">
        <v>792</v>
      </c>
      <c r="H79" s="4" t="s">
        <v>792</v>
      </c>
      <c r="I79" s="4" t="s">
        <v>792</v>
      </c>
      <c r="J79" s="4" t="s">
        <v>792</v>
      </c>
      <c r="K79" s="4" t="s">
        <v>792</v>
      </c>
      <c r="L79" s="4" t="s">
        <v>792</v>
      </c>
      <c r="M79" s="4" t="s">
        <v>792</v>
      </c>
      <c r="N79" s="4" t="s">
        <v>792</v>
      </c>
      <c r="O79" s="4" t="s">
        <v>793</v>
      </c>
      <c r="P79" s="4" t="s">
        <v>793</v>
      </c>
      <c r="Q79" s="4" t="s">
        <v>793</v>
      </c>
      <c r="R79" s="5"/>
    </row>
    <row r="80" ht="30" customHeight="1" spans="1:18">
      <c r="A80" s="2">
        <v>79</v>
      </c>
      <c r="B80" s="2">
        <v>8398000</v>
      </c>
      <c r="C80" s="3" t="s">
        <v>454</v>
      </c>
      <c r="D80" s="3" t="s">
        <v>455</v>
      </c>
      <c r="E80" s="3" t="s">
        <v>456</v>
      </c>
      <c r="F80" s="4" t="s">
        <v>792</v>
      </c>
      <c r="G80" s="4" t="s">
        <v>792</v>
      </c>
      <c r="H80" s="4" t="s">
        <v>792</v>
      </c>
      <c r="I80" s="4" t="s">
        <v>792</v>
      </c>
      <c r="J80" s="4" t="s">
        <v>792</v>
      </c>
      <c r="K80" s="4" t="s">
        <v>792</v>
      </c>
      <c r="L80" s="4" t="s">
        <v>792</v>
      </c>
      <c r="M80" s="4" t="s">
        <v>792</v>
      </c>
      <c r="N80" s="4" t="s">
        <v>792</v>
      </c>
      <c r="O80" s="4" t="s">
        <v>793</v>
      </c>
      <c r="P80" s="4" t="s">
        <v>792</v>
      </c>
      <c r="Q80" s="4" t="s">
        <v>792</v>
      </c>
      <c r="R80" s="5"/>
    </row>
    <row r="81" ht="30" customHeight="1" spans="1:18">
      <c r="A81" s="2">
        <v>80</v>
      </c>
      <c r="B81" s="2">
        <v>8398311</v>
      </c>
      <c r="C81" s="3" t="s">
        <v>454</v>
      </c>
      <c r="D81" s="3" t="s">
        <v>455</v>
      </c>
      <c r="E81" s="3" t="s">
        <v>456</v>
      </c>
      <c r="F81" s="4" t="s">
        <v>792</v>
      </c>
      <c r="G81" s="4" t="s">
        <v>792</v>
      </c>
      <c r="H81" s="4" t="s">
        <v>792</v>
      </c>
      <c r="I81" s="4" t="s">
        <v>792</v>
      </c>
      <c r="J81" s="4" t="s">
        <v>792</v>
      </c>
      <c r="K81" s="4" t="s">
        <v>792</v>
      </c>
      <c r="L81" s="4" t="s">
        <v>792</v>
      </c>
      <c r="M81" s="4" t="s">
        <v>792</v>
      </c>
      <c r="N81" s="4" t="s">
        <v>792</v>
      </c>
      <c r="O81" s="4" t="s">
        <v>793</v>
      </c>
      <c r="P81" s="4" t="s">
        <v>792</v>
      </c>
      <c r="Q81" s="4" t="s">
        <v>792</v>
      </c>
      <c r="R81" s="5"/>
    </row>
    <row r="82" ht="69" customHeight="1" spans="1:18">
      <c r="A82" s="2">
        <v>81</v>
      </c>
      <c r="B82" s="2">
        <v>8424208</v>
      </c>
      <c r="C82" s="3" t="s">
        <v>454</v>
      </c>
      <c r="D82" s="3" t="s">
        <v>911</v>
      </c>
      <c r="E82" s="3" t="s">
        <v>912</v>
      </c>
      <c r="F82" s="4" t="s">
        <v>792</v>
      </c>
      <c r="G82" s="4" t="s">
        <v>792</v>
      </c>
      <c r="H82" s="4" t="s">
        <v>792</v>
      </c>
      <c r="I82" s="4" t="s">
        <v>792</v>
      </c>
      <c r="J82" s="4" t="s">
        <v>792</v>
      </c>
      <c r="K82" s="4" t="s">
        <v>792</v>
      </c>
      <c r="L82" s="4" t="s">
        <v>792</v>
      </c>
      <c r="M82" s="4" t="s">
        <v>792</v>
      </c>
      <c r="N82" s="4" t="s">
        <v>792</v>
      </c>
      <c r="O82" s="4" t="s">
        <v>793</v>
      </c>
      <c r="P82" s="4" t="s">
        <v>793</v>
      </c>
      <c r="Q82" s="4" t="s">
        <v>792</v>
      </c>
      <c r="R82" s="5"/>
    </row>
    <row r="83" ht="55.5" customHeight="1" spans="1:18">
      <c r="A83" s="2">
        <v>82</v>
      </c>
      <c r="B83" s="2">
        <v>8442951</v>
      </c>
      <c r="C83" s="3" t="s">
        <v>904</v>
      </c>
      <c r="D83" s="3" t="s">
        <v>913</v>
      </c>
      <c r="E83" s="3" t="s">
        <v>914</v>
      </c>
      <c r="F83" s="4" t="s">
        <v>792</v>
      </c>
      <c r="G83" s="4" t="s">
        <v>792</v>
      </c>
      <c r="H83" s="4" t="s">
        <v>792</v>
      </c>
      <c r="I83" s="4" t="s">
        <v>792</v>
      </c>
      <c r="J83" s="4" t="s">
        <v>792</v>
      </c>
      <c r="K83" s="4" t="s">
        <v>792</v>
      </c>
      <c r="L83" s="4" t="s">
        <v>792</v>
      </c>
      <c r="M83" s="4" t="s">
        <v>792</v>
      </c>
      <c r="N83" s="4" t="s">
        <v>792</v>
      </c>
      <c r="O83" s="4" t="s">
        <v>793</v>
      </c>
      <c r="P83" s="4" t="s">
        <v>792</v>
      </c>
      <c r="Q83" s="4" t="s">
        <v>793</v>
      </c>
      <c r="R83" s="5"/>
    </row>
    <row r="84" ht="120.75" customHeight="1" spans="1:18">
      <c r="A84" s="2">
        <v>83</v>
      </c>
      <c r="B84" s="2">
        <v>8673539</v>
      </c>
      <c r="C84" s="3" t="s">
        <v>915</v>
      </c>
      <c r="D84" s="3" t="s">
        <v>916</v>
      </c>
      <c r="E84" s="3" t="s">
        <v>917</v>
      </c>
      <c r="F84" s="4" t="s">
        <v>793</v>
      </c>
      <c r="G84" s="4" t="s">
        <v>793</v>
      </c>
      <c r="H84" s="4" t="s">
        <v>793</v>
      </c>
      <c r="I84" s="4" t="s">
        <v>792</v>
      </c>
      <c r="J84" s="4" t="s">
        <v>792</v>
      </c>
      <c r="K84" s="4" t="s">
        <v>792</v>
      </c>
      <c r="L84" s="4" t="s">
        <v>792</v>
      </c>
      <c r="M84" s="4" t="s">
        <v>792</v>
      </c>
      <c r="N84" s="4" t="s">
        <v>792</v>
      </c>
      <c r="O84" s="4" t="s">
        <v>793</v>
      </c>
      <c r="P84" s="4" t="s">
        <v>793</v>
      </c>
      <c r="Q84" s="4" t="s">
        <v>792</v>
      </c>
      <c r="R84" s="5"/>
    </row>
    <row r="85" ht="42.75" customHeight="1" spans="1:18">
      <c r="A85" s="2">
        <v>84</v>
      </c>
      <c r="B85" s="2">
        <v>8791247</v>
      </c>
      <c r="C85" s="3" t="s">
        <v>454</v>
      </c>
      <c r="D85" s="3" t="s">
        <v>918</v>
      </c>
      <c r="E85" s="3" t="s">
        <v>919</v>
      </c>
      <c r="F85" s="4" t="s">
        <v>792</v>
      </c>
      <c r="G85" s="4" t="s">
        <v>792</v>
      </c>
      <c r="H85" s="4" t="s">
        <v>792</v>
      </c>
      <c r="I85" s="4" t="s">
        <v>792</v>
      </c>
      <c r="J85" s="4" t="s">
        <v>792</v>
      </c>
      <c r="K85" s="4" t="s">
        <v>792</v>
      </c>
      <c r="L85" s="4" t="s">
        <v>792</v>
      </c>
      <c r="M85" s="4" t="s">
        <v>792</v>
      </c>
      <c r="N85" s="4" t="s">
        <v>792</v>
      </c>
      <c r="O85" s="4" t="s">
        <v>793</v>
      </c>
      <c r="P85" s="4" t="s">
        <v>793</v>
      </c>
      <c r="Q85" s="4" t="s">
        <v>792</v>
      </c>
      <c r="R85" s="5"/>
    </row>
    <row r="86" ht="55.5" customHeight="1" spans="1:18">
      <c r="A86" s="2">
        <v>85</v>
      </c>
      <c r="B86" s="2">
        <v>8871042</v>
      </c>
      <c r="C86" s="3" t="s">
        <v>584</v>
      </c>
      <c r="D86" s="3" t="s">
        <v>920</v>
      </c>
      <c r="E86" s="3" t="s">
        <v>921</v>
      </c>
      <c r="F86" s="4" t="s">
        <v>792</v>
      </c>
      <c r="G86" s="4" t="s">
        <v>792</v>
      </c>
      <c r="H86" s="4" t="s">
        <v>792</v>
      </c>
      <c r="I86" s="4" t="s">
        <v>792</v>
      </c>
      <c r="J86" s="4" t="s">
        <v>792</v>
      </c>
      <c r="K86" s="4" t="s">
        <v>792</v>
      </c>
      <c r="L86" s="4" t="s">
        <v>792</v>
      </c>
      <c r="M86" s="4" t="s">
        <v>792</v>
      </c>
      <c r="N86" s="4" t="s">
        <v>792</v>
      </c>
      <c r="O86" s="4" t="s">
        <v>793</v>
      </c>
      <c r="P86" s="4" t="s">
        <v>793</v>
      </c>
      <c r="Q86" s="4" t="s">
        <v>792</v>
      </c>
      <c r="R86" s="5"/>
    </row>
    <row r="87" ht="42.75" customHeight="1" spans="1:18">
      <c r="A87" s="2">
        <v>86</v>
      </c>
      <c r="B87" s="2">
        <v>8998967</v>
      </c>
      <c r="C87" s="3" t="s">
        <v>584</v>
      </c>
      <c r="D87" s="3" t="s">
        <v>729</v>
      </c>
      <c r="E87" s="3" t="s">
        <v>851</v>
      </c>
      <c r="F87" s="4" t="s">
        <v>792</v>
      </c>
      <c r="G87" s="4" t="s">
        <v>792</v>
      </c>
      <c r="H87" s="4" t="s">
        <v>792</v>
      </c>
      <c r="I87" s="4" t="s">
        <v>792</v>
      </c>
      <c r="J87" s="4" t="s">
        <v>792</v>
      </c>
      <c r="K87" s="4" t="s">
        <v>792</v>
      </c>
      <c r="L87" s="4" t="s">
        <v>792</v>
      </c>
      <c r="M87" s="4" t="s">
        <v>792</v>
      </c>
      <c r="N87" s="4" t="s">
        <v>792</v>
      </c>
      <c r="O87" s="4" t="s">
        <v>793</v>
      </c>
      <c r="P87" s="4" t="s">
        <v>792</v>
      </c>
      <c r="Q87" s="4" t="s">
        <v>792</v>
      </c>
      <c r="R87" s="5"/>
    </row>
    <row r="88" ht="42.75" customHeight="1" spans="1:18">
      <c r="A88" s="2">
        <v>87</v>
      </c>
      <c r="B88" s="2">
        <v>9189400</v>
      </c>
      <c r="C88" s="3" t="s">
        <v>454</v>
      </c>
      <c r="D88" s="3" t="s">
        <v>922</v>
      </c>
      <c r="E88" s="3" t="s">
        <v>923</v>
      </c>
      <c r="F88" s="4" t="s">
        <v>792</v>
      </c>
      <c r="G88" s="4" t="s">
        <v>792</v>
      </c>
      <c r="H88" s="4" t="s">
        <v>792</v>
      </c>
      <c r="I88" s="4" t="s">
        <v>792</v>
      </c>
      <c r="J88" s="4" t="s">
        <v>792</v>
      </c>
      <c r="K88" s="4" t="s">
        <v>792</v>
      </c>
      <c r="L88" s="4" t="s">
        <v>792</v>
      </c>
      <c r="M88" s="4" t="s">
        <v>792</v>
      </c>
      <c r="N88" s="4" t="s">
        <v>792</v>
      </c>
      <c r="O88" s="4" t="s">
        <v>793</v>
      </c>
      <c r="P88" s="4" t="s">
        <v>792</v>
      </c>
      <c r="Q88" s="4" t="s">
        <v>793</v>
      </c>
      <c r="R88" s="5"/>
    </row>
    <row r="89" ht="120.75" customHeight="1" spans="1:18">
      <c r="A89" s="2">
        <v>88</v>
      </c>
      <c r="B89" s="2">
        <v>9450981</v>
      </c>
      <c r="C89" s="3" t="s">
        <v>915</v>
      </c>
      <c r="D89" s="3" t="s">
        <v>924</v>
      </c>
      <c r="E89" s="3" t="s">
        <v>925</v>
      </c>
      <c r="F89" s="4" t="s">
        <v>792</v>
      </c>
      <c r="G89" s="4" t="s">
        <v>792</v>
      </c>
      <c r="H89" s="4" t="s">
        <v>792</v>
      </c>
      <c r="I89" s="4" t="s">
        <v>792</v>
      </c>
      <c r="J89" s="4" t="s">
        <v>792</v>
      </c>
      <c r="K89" s="4" t="s">
        <v>792</v>
      </c>
      <c r="L89" s="4" t="s">
        <v>792</v>
      </c>
      <c r="M89" s="4" t="s">
        <v>792</v>
      </c>
      <c r="N89" s="4" t="s">
        <v>792</v>
      </c>
      <c r="O89" s="4" t="s">
        <v>793</v>
      </c>
      <c r="P89" s="4" t="s">
        <v>793</v>
      </c>
      <c r="Q89" s="4" t="s">
        <v>792</v>
      </c>
      <c r="R89" s="5"/>
    </row>
    <row r="90" ht="55.5" customHeight="1" spans="1:18">
      <c r="A90" s="2">
        <v>89</v>
      </c>
      <c r="B90" s="2">
        <v>9506427</v>
      </c>
      <c r="C90" s="3" t="s">
        <v>454</v>
      </c>
      <c r="D90" s="3" t="s">
        <v>926</v>
      </c>
      <c r="E90" s="3" t="s">
        <v>927</v>
      </c>
      <c r="F90" s="4" t="s">
        <v>792</v>
      </c>
      <c r="G90" s="4" t="s">
        <v>792</v>
      </c>
      <c r="H90" s="4" t="s">
        <v>792</v>
      </c>
      <c r="I90" s="4" t="s">
        <v>792</v>
      </c>
      <c r="J90" s="4" t="s">
        <v>792</v>
      </c>
      <c r="K90" s="4" t="s">
        <v>792</v>
      </c>
      <c r="L90" s="4" t="s">
        <v>792</v>
      </c>
      <c r="M90" s="4" t="s">
        <v>792</v>
      </c>
      <c r="N90" s="4" t="s">
        <v>792</v>
      </c>
      <c r="O90" s="4" t="s">
        <v>793</v>
      </c>
      <c r="P90" s="4" t="s">
        <v>793</v>
      </c>
      <c r="Q90" s="4" t="s">
        <v>792</v>
      </c>
      <c r="R90" s="5"/>
    </row>
    <row r="91" ht="42.75" customHeight="1" spans="1:18">
      <c r="A91" s="2">
        <v>90</v>
      </c>
      <c r="B91" s="2">
        <v>9701918</v>
      </c>
      <c r="C91" s="3" t="s">
        <v>584</v>
      </c>
      <c r="D91" s="3" t="s">
        <v>928</v>
      </c>
      <c r="E91" s="3" t="s">
        <v>929</v>
      </c>
      <c r="F91" s="4" t="s">
        <v>792</v>
      </c>
      <c r="G91" s="4" t="s">
        <v>792</v>
      </c>
      <c r="H91" s="4" t="s">
        <v>792</v>
      </c>
      <c r="I91" s="4" t="s">
        <v>792</v>
      </c>
      <c r="J91" s="4" t="s">
        <v>792</v>
      </c>
      <c r="K91" s="4" t="s">
        <v>792</v>
      </c>
      <c r="L91" s="4" t="s">
        <v>792</v>
      </c>
      <c r="M91" s="4" t="s">
        <v>792</v>
      </c>
      <c r="N91" s="4" t="s">
        <v>792</v>
      </c>
      <c r="O91" s="4" t="s">
        <v>793</v>
      </c>
      <c r="P91" s="4" t="s">
        <v>793</v>
      </c>
      <c r="Q91" s="4" t="s">
        <v>792</v>
      </c>
      <c r="R91" s="5"/>
    </row>
    <row r="92" ht="42.75" customHeight="1" spans="1:18">
      <c r="A92" s="2">
        <v>91</v>
      </c>
      <c r="B92" s="2">
        <v>9882297</v>
      </c>
      <c r="C92" s="3" t="s">
        <v>454</v>
      </c>
      <c r="D92" s="3" t="s">
        <v>597</v>
      </c>
      <c r="E92" s="3" t="s">
        <v>598</v>
      </c>
      <c r="F92" s="4" t="s">
        <v>792</v>
      </c>
      <c r="G92" s="4" t="s">
        <v>792</v>
      </c>
      <c r="H92" s="4" t="s">
        <v>792</v>
      </c>
      <c r="I92" s="4" t="s">
        <v>792</v>
      </c>
      <c r="J92" s="4" t="s">
        <v>792</v>
      </c>
      <c r="K92" s="4" t="s">
        <v>792</v>
      </c>
      <c r="L92" s="4" t="s">
        <v>792</v>
      </c>
      <c r="M92" s="4" t="s">
        <v>792</v>
      </c>
      <c r="N92" s="4" t="s">
        <v>792</v>
      </c>
      <c r="O92" s="4" t="s">
        <v>793</v>
      </c>
      <c r="P92" s="4" t="s">
        <v>793</v>
      </c>
      <c r="Q92" s="4" t="s">
        <v>792</v>
      </c>
      <c r="R92" s="5"/>
    </row>
    <row r="93" ht="42.75" customHeight="1" spans="1:18">
      <c r="A93" s="2">
        <v>92</v>
      </c>
      <c r="B93" s="2">
        <v>9912595</v>
      </c>
      <c r="C93" s="3" t="s">
        <v>454</v>
      </c>
      <c r="D93" s="3" t="s">
        <v>930</v>
      </c>
      <c r="E93" s="3" t="s">
        <v>456</v>
      </c>
      <c r="F93" s="4" t="s">
        <v>792</v>
      </c>
      <c r="G93" s="4" t="s">
        <v>792</v>
      </c>
      <c r="H93" s="4" t="s">
        <v>792</v>
      </c>
      <c r="I93" s="4" t="s">
        <v>792</v>
      </c>
      <c r="J93" s="4" t="s">
        <v>792</v>
      </c>
      <c r="K93" s="4" t="s">
        <v>792</v>
      </c>
      <c r="L93" s="4" t="s">
        <v>792</v>
      </c>
      <c r="M93" s="4" t="s">
        <v>792</v>
      </c>
      <c r="N93" s="4" t="s">
        <v>792</v>
      </c>
      <c r="O93" s="4" t="s">
        <v>793</v>
      </c>
      <c r="P93" s="4" t="s">
        <v>792</v>
      </c>
      <c r="Q93" s="4" t="s">
        <v>792</v>
      </c>
      <c r="R93" s="5"/>
    </row>
    <row r="94" ht="186" customHeight="1" spans="1:18">
      <c r="A94" s="2">
        <v>93</v>
      </c>
      <c r="B94" s="2">
        <v>10140565</v>
      </c>
      <c r="C94" s="3" t="s">
        <v>931</v>
      </c>
      <c r="D94" s="3" t="s">
        <v>932</v>
      </c>
      <c r="E94" s="3" t="s">
        <v>933</v>
      </c>
      <c r="F94" s="4" t="s">
        <v>792</v>
      </c>
      <c r="G94" s="4" t="s">
        <v>792</v>
      </c>
      <c r="H94" s="4" t="s">
        <v>792</v>
      </c>
      <c r="I94" s="4" t="s">
        <v>792</v>
      </c>
      <c r="J94" s="4" t="s">
        <v>792</v>
      </c>
      <c r="K94" s="4" t="s">
        <v>792</v>
      </c>
      <c r="L94" s="4" t="s">
        <v>792</v>
      </c>
      <c r="M94" s="4" t="s">
        <v>792</v>
      </c>
      <c r="N94" s="4" t="s">
        <v>792</v>
      </c>
      <c r="O94" s="4" t="s">
        <v>793</v>
      </c>
      <c r="P94" s="4" t="s">
        <v>792</v>
      </c>
      <c r="Q94" s="4" t="s">
        <v>793</v>
      </c>
      <c r="R94" s="5"/>
    </row>
    <row r="95" ht="55.5" customHeight="1" spans="1:18">
      <c r="A95" s="2">
        <v>94</v>
      </c>
      <c r="B95" s="2">
        <v>10160242</v>
      </c>
      <c r="C95" s="3" t="s">
        <v>904</v>
      </c>
      <c r="D95" s="3" t="s">
        <v>934</v>
      </c>
      <c r="E95" s="3" t="s">
        <v>935</v>
      </c>
      <c r="F95" s="4" t="s">
        <v>792</v>
      </c>
      <c r="G95" s="4" t="s">
        <v>792</v>
      </c>
      <c r="H95" s="4" t="s">
        <v>792</v>
      </c>
      <c r="I95" s="4" t="s">
        <v>792</v>
      </c>
      <c r="J95" s="4" t="s">
        <v>792</v>
      </c>
      <c r="K95" s="4" t="s">
        <v>792</v>
      </c>
      <c r="L95" s="4" t="s">
        <v>792</v>
      </c>
      <c r="M95" s="4" t="s">
        <v>792</v>
      </c>
      <c r="N95" s="4" t="s">
        <v>792</v>
      </c>
      <c r="O95" s="4" t="s">
        <v>793</v>
      </c>
      <c r="P95" s="4" t="s">
        <v>793</v>
      </c>
      <c r="Q95" s="4" t="s">
        <v>792</v>
      </c>
      <c r="R95" s="5"/>
    </row>
    <row r="96" ht="69" customHeight="1" spans="1:18">
      <c r="A96" s="2">
        <v>95</v>
      </c>
      <c r="B96" s="2">
        <v>10459499</v>
      </c>
      <c r="C96" s="3" t="s">
        <v>603</v>
      </c>
      <c r="D96" s="3" t="s">
        <v>604</v>
      </c>
      <c r="E96" s="3" t="s">
        <v>605</v>
      </c>
      <c r="F96" s="4" t="s">
        <v>792</v>
      </c>
      <c r="G96" s="4" t="s">
        <v>792</v>
      </c>
      <c r="H96" s="4" t="s">
        <v>792</v>
      </c>
      <c r="I96" s="4" t="s">
        <v>792</v>
      </c>
      <c r="J96" s="4" t="s">
        <v>792</v>
      </c>
      <c r="K96" s="4" t="s">
        <v>792</v>
      </c>
      <c r="L96" s="4" t="s">
        <v>792</v>
      </c>
      <c r="M96" s="4" t="s">
        <v>792</v>
      </c>
      <c r="N96" s="4" t="s">
        <v>792</v>
      </c>
      <c r="O96" s="4" t="s">
        <v>793</v>
      </c>
      <c r="P96" s="4" t="s">
        <v>793</v>
      </c>
      <c r="Q96" s="4" t="s">
        <v>792</v>
      </c>
      <c r="R96" s="5"/>
    </row>
    <row r="97" ht="81.75" customHeight="1" spans="1:18">
      <c r="A97" s="2">
        <v>96</v>
      </c>
      <c r="B97" s="2">
        <v>10656834</v>
      </c>
      <c r="C97" s="3" t="s">
        <v>904</v>
      </c>
      <c r="D97" s="3" t="s">
        <v>936</v>
      </c>
      <c r="E97" s="3" t="s">
        <v>937</v>
      </c>
      <c r="F97" s="4" t="s">
        <v>792</v>
      </c>
      <c r="G97" s="4" t="s">
        <v>792</v>
      </c>
      <c r="H97" s="4" t="s">
        <v>792</v>
      </c>
      <c r="I97" s="4" t="s">
        <v>792</v>
      </c>
      <c r="J97" s="4" t="s">
        <v>792</v>
      </c>
      <c r="K97" s="4" t="s">
        <v>792</v>
      </c>
      <c r="L97" s="4" t="s">
        <v>792</v>
      </c>
      <c r="M97" s="4" t="s">
        <v>792</v>
      </c>
      <c r="N97" s="4" t="s">
        <v>792</v>
      </c>
      <c r="O97" s="4" t="s">
        <v>793</v>
      </c>
      <c r="P97" s="4" t="s">
        <v>793</v>
      </c>
      <c r="Q97" s="4" t="s">
        <v>793</v>
      </c>
      <c r="R97" s="5"/>
    </row>
    <row r="98" ht="211.5" customHeight="1" spans="1:18">
      <c r="A98" s="2">
        <v>97</v>
      </c>
      <c r="B98" s="2">
        <v>10714809</v>
      </c>
      <c r="C98" s="3" t="s">
        <v>938</v>
      </c>
      <c r="D98" s="3" t="s">
        <v>939</v>
      </c>
      <c r="E98" s="3" t="s">
        <v>940</v>
      </c>
      <c r="F98" s="4" t="s">
        <v>792</v>
      </c>
      <c r="G98" s="4" t="s">
        <v>792</v>
      </c>
      <c r="H98" s="4" t="s">
        <v>792</v>
      </c>
      <c r="I98" s="4" t="s">
        <v>792</v>
      </c>
      <c r="J98" s="4" t="s">
        <v>792</v>
      </c>
      <c r="K98" s="4" t="s">
        <v>792</v>
      </c>
      <c r="L98" s="4" t="s">
        <v>793</v>
      </c>
      <c r="M98" s="4" t="s">
        <v>792</v>
      </c>
      <c r="N98" s="4" t="s">
        <v>792</v>
      </c>
      <c r="O98" s="4" t="s">
        <v>793</v>
      </c>
      <c r="P98" s="4" t="s">
        <v>792</v>
      </c>
      <c r="Q98" s="4" t="s">
        <v>792</v>
      </c>
      <c r="R98" s="5"/>
    </row>
    <row r="99" ht="108" customHeight="1" spans="1:18">
      <c r="A99" s="2">
        <v>98</v>
      </c>
      <c r="B99" s="2">
        <v>10744720</v>
      </c>
      <c r="C99" s="3" t="s">
        <v>915</v>
      </c>
      <c r="D99" s="3" t="s">
        <v>941</v>
      </c>
      <c r="E99" s="3" t="s">
        <v>942</v>
      </c>
      <c r="F99" s="4" t="s">
        <v>792</v>
      </c>
      <c r="G99" s="4" t="s">
        <v>792</v>
      </c>
      <c r="H99" s="4" t="s">
        <v>792</v>
      </c>
      <c r="I99" s="4" t="s">
        <v>792</v>
      </c>
      <c r="J99" s="4" t="s">
        <v>792</v>
      </c>
      <c r="K99" s="4" t="s">
        <v>792</v>
      </c>
      <c r="L99" s="4" t="s">
        <v>792</v>
      </c>
      <c r="M99" s="4" t="s">
        <v>792</v>
      </c>
      <c r="N99" s="4" t="s">
        <v>792</v>
      </c>
      <c r="O99" s="4" t="s">
        <v>793</v>
      </c>
      <c r="P99" s="4" t="s">
        <v>793</v>
      </c>
      <c r="Q99" s="4" t="s">
        <v>792</v>
      </c>
      <c r="R99" s="5"/>
    </row>
    <row r="100" ht="81.75" customHeight="1" spans="1:18">
      <c r="A100" s="2">
        <v>99</v>
      </c>
      <c r="B100" s="2">
        <v>10746232</v>
      </c>
      <c r="C100" s="3" t="s">
        <v>915</v>
      </c>
      <c r="D100" s="3" t="s">
        <v>943</v>
      </c>
      <c r="E100" s="3" t="s">
        <v>944</v>
      </c>
      <c r="F100" s="4" t="s">
        <v>792</v>
      </c>
      <c r="G100" s="4" t="s">
        <v>792</v>
      </c>
      <c r="H100" s="4" t="s">
        <v>792</v>
      </c>
      <c r="I100" s="4" t="s">
        <v>792</v>
      </c>
      <c r="J100" s="4" t="s">
        <v>792</v>
      </c>
      <c r="K100" s="4" t="s">
        <v>792</v>
      </c>
      <c r="L100" s="4" t="s">
        <v>792</v>
      </c>
      <c r="M100" s="4" t="s">
        <v>792</v>
      </c>
      <c r="N100" s="4" t="s">
        <v>792</v>
      </c>
      <c r="O100" s="4" t="s">
        <v>793</v>
      </c>
      <c r="P100" s="4" t="s">
        <v>792</v>
      </c>
      <c r="Q100" s="4" t="s">
        <v>792</v>
      </c>
      <c r="R100" s="5"/>
    </row>
    <row r="101" ht="69" customHeight="1" spans="1:18">
      <c r="A101" s="2">
        <v>100</v>
      </c>
      <c r="B101" s="2">
        <v>11144243</v>
      </c>
      <c r="C101" s="3" t="s">
        <v>945</v>
      </c>
      <c r="D101" s="3" t="s">
        <v>946</v>
      </c>
      <c r="E101" s="3" t="s">
        <v>947</v>
      </c>
      <c r="F101" s="4" t="s">
        <v>792</v>
      </c>
      <c r="G101" s="4" t="s">
        <v>792</v>
      </c>
      <c r="H101" s="4" t="s">
        <v>792</v>
      </c>
      <c r="I101" s="4" t="s">
        <v>792</v>
      </c>
      <c r="J101" s="4" t="s">
        <v>792</v>
      </c>
      <c r="K101" s="4" t="s">
        <v>792</v>
      </c>
      <c r="L101" s="4" t="s">
        <v>792</v>
      </c>
      <c r="M101" s="4" t="s">
        <v>792</v>
      </c>
      <c r="N101" s="4" t="s">
        <v>792</v>
      </c>
      <c r="O101" s="4" t="s">
        <v>793</v>
      </c>
      <c r="P101" s="4" t="s">
        <v>793</v>
      </c>
      <c r="Q101" s="4" t="s">
        <v>792</v>
      </c>
      <c r="R101" s="5"/>
    </row>
    <row r="102" ht="69" customHeight="1" spans="1:18">
      <c r="A102" s="2">
        <v>101</v>
      </c>
      <c r="B102" s="2">
        <v>11907542</v>
      </c>
      <c r="C102" s="3" t="s">
        <v>948</v>
      </c>
      <c r="D102" s="3" t="s">
        <v>949</v>
      </c>
      <c r="E102" s="3" t="s">
        <v>867</v>
      </c>
      <c r="F102" s="4" t="s">
        <v>792</v>
      </c>
      <c r="G102" s="4" t="s">
        <v>792</v>
      </c>
      <c r="H102" s="4" t="s">
        <v>792</v>
      </c>
      <c r="I102" s="4" t="s">
        <v>792</v>
      </c>
      <c r="J102" s="4" t="s">
        <v>792</v>
      </c>
      <c r="K102" s="4" t="s">
        <v>792</v>
      </c>
      <c r="L102" s="4" t="s">
        <v>792</v>
      </c>
      <c r="M102" s="4" t="s">
        <v>792</v>
      </c>
      <c r="N102" s="4" t="s">
        <v>792</v>
      </c>
      <c r="O102" s="4" t="s">
        <v>793</v>
      </c>
      <c r="P102" s="4" t="s">
        <v>793</v>
      </c>
      <c r="Q102" s="4" t="s">
        <v>792</v>
      </c>
      <c r="R102" s="5"/>
    </row>
    <row r="103" ht="120.75" customHeight="1" spans="1:18">
      <c r="A103" s="2">
        <v>102</v>
      </c>
      <c r="B103" s="2">
        <v>17337851</v>
      </c>
      <c r="C103" s="3" t="s">
        <v>950</v>
      </c>
      <c r="D103" s="3" t="s">
        <v>951</v>
      </c>
      <c r="E103" s="3" t="s">
        <v>952</v>
      </c>
      <c r="F103" s="4" t="s">
        <v>792</v>
      </c>
      <c r="G103" s="4" t="s">
        <v>792</v>
      </c>
      <c r="H103" s="4" t="s">
        <v>792</v>
      </c>
      <c r="I103" s="4" t="s">
        <v>792</v>
      </c>
      <c r="J103" s="4" t="s">
        <v>792</v>
      </c>
      <c r="K103" s="4" t="s">
        <v>792</v>
      </c>
      <c r="L103" s="4" t="s">
        <v>792</v>
      </c>
      <c r="M103" s="4" t="s">
        <v>792</v>
      </c>
      <c r="N103" s="4" t="s">
        <v>792</v>
      </c>
      <c r="O103" s="4" t="s">
        <v>793</v>
      </c>
      <c r="P103" s="4" t="s">
        <v>792</v>
      </c>
      <c r="Q103" s="4" t="s">
        <v>792</v>
      </c>
      <c r="R103" s="5"/>
    </row>
    <row r="104" ht="133.5" customHeight="1" spans="1:18">
      <c r="A104" s="2">
        <v>103</v>
      </c>
      <c r="B104" s="2">
        <v>19025013</v>
      </c>
      <c r="C104" s="3" t="s">
        <v>953</v>
      </c>
      <c r="D104" s="3" t="s">
        <v>954</v>
      </c>
      <c r="E104" s="3" t="s">
        <v>955</v>
      </c>
      <c r="F104" s="4" t="s">
        <v>792</v>
      </c>
      <c r="G104" s="4" t="s">
        <v>792</v>
      </c>
      <c r="H104" s="4" t="s">
        <v>792</v>
      </c>
      <c r="I104" s="4" t="s">
        <v>792</v>
      </c>
      <c r="J104" s="4" t="s">
        <v>792</v>
      </c>
      <c r="K104" s="4" t="s">
        <v>792</v>
      </c>
      <c r="L104" s="4" t="s">
        <v>792</v>
      </c>
      <c r="M104" s="4" t="s">
        <v>792</v>
      </c>
      <c r="N104" s="4" t="s">
        <v>792</v>
      </c>
      <c r="O104" s="4" t="s">
        <v>793</v>
      </c>
      <c r="P104" s="4" t="s">
        <v>793</v>
      </c>
      <c r="Q104" s="4" t="s">
        <v>792</v>
      </c>
      <c r="R104" s="5"/>
    </row>
    <row r="105" ht="30" customHeight="1" spans="1:18">
      <c r="A105" s="2">
        <v>104</v>
      </c>
      <c r="B105" s="2">
        <v>26699416</v>
      </c>
      <c r="C105" s="3" t="s">
        <v>454</v>
      </c>
      <c r="D105" s="3" t="s">
        <v>455</v>
      </c>
      <c r="E105" s="3" t="s">
        <v>456</v>
      </c>
      <c r="F105" s="4" t="s">
        <v>792</v>
      </c>
      <c r="G105" s="4" t="s">
        <v>792</v>
      </c>
      <c r="H105" s="4" t="s">
        <v>792</v>
      </c>
      <c r="I105" s="4" t="s">
        <v>792</v>
      </c>
      <c r="J105" s="4" t="s">
        <v>792</v>
      </c>
      <c r="K105" s="4" t="s">
        <v>792</v>
      </c>
      <c r="L105" s="4" t="s">
        <v>792</v>
      </c>
      <c r="M105" s="4" t="s">
        <v>792</v>
      </c>
      <c r="N105" s="4" t="s">
        <v>792</v>
      </c>
      <c r="O105" s="4" t="s">
        <v>793</v>
      </c>
      <c r="P105" s="4" t="s">
        <v>792</v>
      </c>
      <c r="Q105" s="4" t="s">
        <v>792</v>
      </c>
      <c r="R105" s="5"/>
    </row>
    <row r="106" ht="69" customHeight="1" spans="1:18">
      <c r="A106" s="2">
        <v>105</v>
      </c>
      <c r="B106" s="2">
        <v>31645208</v>
      </c>
      <c r="C106" s="3" t="s">
        <v>454</v>
      </c>
      <c r="D106" s="3" t="s">
        <v>956</v>
      </c>
      <c r="E106" s="3" t="s">
        <v>957</v>
      </c>
      <c r="F106" s="4" t="s">
        <v>793</v>
      </c>
      <c r="G106" s="4" t="s">
        <v>792</v>
      </c>
      <c r="H106" s="4" t="s">
        <v>793</v>
      </c>
      <c r="I106" s="4" t="s">
        <v>793</v>
      </c>
      <c r="J106" s="4" t="s">
        <v>792</v>
      </c>
      <c r="K106" s="4" t="s">
        <v>792</v>
      </c>
      <c r="L106" s="4" t="s">
        <v>792</v>
      </c>
      <c r="M106" s="4" t="s">
        <v>792</v>
      </c>
      <c r="N106" s="4" t="s">
        <v>792</v>
      </c>
      <c r="O106" s="4" t="s">
        <v>792</v>
      </c>
      <c r="P106" s="4" t="s">
        <v>792</v>
      </c>
      <c r="Q106" s="4" t="s">
        <v>793</v>
      </c>
      <c r="R106" s="5"/>
    </row>
    <row r="107" ht="94.5" customHeight="1" spans="1:18">
      <c r="A107" s="2">
        <v>106</v>
      </c>
      <c r="B107" s="2">
        <v>35628612</v>
      </c>
      <c r="C107" s="3" t="s">
        <v>958</v>
      </c>
      <c r="D107" s="3" t="s">
        <v>959</v>
      </c>
      <c r="E107" s="3" t="s">
        <v>960</v>
      </c>
      <c r="F107" s="4" t="s">
        <v>792</v>
      </c>
      <c r="G107" s="4" t="s">
        <v>792</v>
      </c>
      <c r="H107" s="4" t="s">
        <v>792</v>
      </c>
      <c r="I107" s="4" t="s">
        <v>792</v>
      </c>
      <c r="J107" s="4" t="s">
        <v>792</v>
      </c>
      <c r="K107" s="4" t="s">
        <v>792</v>
      </c>
      <c r="L107" s="4" t="s">
        <v>792</v>
      </c>
      <c r="M107" s="4" t="s">
        <v>792</v>
      </c>
      <c r="N107" s="4" t="s">
        <v>792</v>
      </c>
      <c r="O107" s="4" t="s">
        <v>793</v>
      </c>
      <c r="P107" s="4" t="s">
        <v>793</v>
      </c>
      <c r="Q107" s="4" t="s">
        <v>792</v>
      </c>
      <c r="R107" s="5"/>
    </row>
    <row r="108" ht="172.5" customHeight="1" spans="1:18">
      <c r="A108" s="2">
        <v>107</v>
      </c>
      <c r="B108" s="2">
        <v>35702462</v>
      </c>
      <c r="C108" s="3" t="s">
        <v>961</v>
      </c>
      <c r="D108" s="3" t="s">
        <v>962</v>
      </c>
      <c r="E108" s="3" t="s">
        <v>963</v>
      </c>
      <c r="F108" s="4" t="s">
        <v>792</v>
      </c>
      <c r="G108" s="4" t="s">
        <v>792</v>
      </c>
      <c r="H108" s="4" t="s">
        <v>792</v>
      </c>
      <c r="I108" s="4" t="s">
        <v>792</v>
      </c>
      <c r="J108" s="4" t="s">
        <v>792</v>
      </c>
      <c r="K108" s="4" t="s">
        <v>792</v>
      </c>
      <c r="L108" s="4" t="s">
        <v>792</v>
      </c>
      <c r="M108" s="4" t="s">
        <v>792</v>
      </c>
      <c r="N108" s="4" t="s">
        <v>792</v>
      </c>
      <c r="O108" s="4" t="s">
        <v>793</v>
      </c>
      <c r="P108" s="4" t="s">
        <v>793</v>
      </c>
      <c r="Q108" s="4" t="s">
        <v>792</v>
      </c>
      <c r="R108" s="5"/>
    </row>
    <row r="109" ht="147" customHeight="1" spans="1:18">
      <c r="A109" s="2">
        <v>108</v>
      </c>
      <c r="B109" s="2">
        <v>35724137</v>
      </c>
      <c r="C109" s="3" t="s">
        <v>640</v>
      </c>
      <c r="D109" s="3" t="s">
        <v>641</v>
      </c>
      <c r="E109" s="3" t="s">
        <v>642</v>
      </c>
      <c r="F109" s="4" t="s">
        <v>792</v>
      </c>
      <c r="G109" s="4" t="s">
        <v>792</v>
      </c>
      <c r="H109" s="4" t="s">
        <v>793</v>
      </c>
      <c r="I109" s="4" t="s">
        <v>792</v>
      </c>
      <c r="J109" s="4" t="s">
        <v>792</v>
      </c>
      <c r="K109" s="4" t="s">
        <v>792</v>
      </c>
      <c r="L109" s="4" t="s">
        <v>792</v>
      </c>
      <c r="M109" s="4" t="s">
        <v>792</v>
      </c>
      <c r="N109" s="4" t="s">
        <v>792</v>
      </c>
      <c r="O109" s="4" t="s">
        <v>793</v>
      </c>
      <c r="P109" s="4" t="s">
        <v>792</v>
      </c>
      <c r="Q109" s="4" t="s">
        <v>792</v>
      </c>
      <c r="R109" s="5"/>
    </row>
    <row r="110" ht="55.5" customHeight="1" spans="1:18">
      <c r="A110" s="2">
        <v>109</v>
      </c>
      <c r="B110" s="2">
        <v>35726912</v>
      </c>
      <c r="C110" s="3" t="s">
        <v>454</v>
      </c>
      <c r="D110" s="3" t="s">
        <v>646</v>
      </c>
      <c r="E110" s="3" t="s">
        <v>647</v>
      </c>
      <c r="F110" s="4" t="s">
        <v>792</v>
      </c>
      <c r="G110" s="4" t="s">
        <v>792</v>
      </c>
      <c r="H110" s="4" t="s">
        <v>792</v>
      </c>
      <c r="I110" s="4" t="s">
        <v>792</v>
      </c>
      <c r="J110" s="4" t="s">
        <v>792</v>
      </c>
      <c r="K110" s="4" t="s">
        <v>792</v>
      </c>
      <c r="L110" s="4" t="s">
        <v>793</v>
      </c>
      <c r="M110" s="4" t="s">
        <v>792</v>
      </c>
      <c r="N110" s="4" t="s">
        <v>792</v>
      </c>
      <c r="O110" s="4" t="s">
        <v>793</v>
      </c>
      <c r="P110" s="4" t="s">
        <v>793</v>
      </c>
      <c r="Q110" s="4" t="s">
        <v>792</v>
      </c>
      <c r="R110" s="5"/>
    </row>
    <row r="111" ht="30" customHeight="1" spans="1:18">
      <c r="A111" s="2">
        <v>110</v>
      </c>
      <c r="B111" s="2">
        <v>35792266</v>
      </c>
      <c r="C111" s="3" t="s">
        <v>454</v>
      </c>
      <c r="D111" s="3" t="s">
        <v>455</v>
      </c>
      <c r="E111" s="3" t="s">
        <v>456</v>
      </c>
      <c r="F111" s="4" t="s">
        <v>792</v>
      </c>
      <c r="G111" s="4" t="s">
        <v>792</v>
      </c>
      <c r="H111" s="4" t="s">
        <v>792</v>
      </c>
      <c r="I111" s="4" t="s">
        <v>792</v>
      </c>
      <c r="J111" s="4" t="s">
        <v>792</v>
      </c>
      <c r="K111" s="4" t="s">
        <v>792</v>
      </c>
      <c r="L111" s="4" t="s">
        <v>792</v>
      </c>
      <c r="M111" s="4" t="s">
        <v>792</v>
      </c>
      <c r="N111" s="4" t="s">
        <v>792</v>
      </c>
      <c r="O111" s="4" t="s">
        <v>793</v>
      </c>
      <c r="P111" s="4" t="s">
        <v>792</v>
      </c>
      <c r="Q111" s="4" t="s">
        <v>792</v>
      </c>
      <c r="R111" s="5"/>
    </row>
    <row r="112" ht="42.75" customHeight="1" spans="1:18">
      <c r="A112" s="2">
        <v>111</v>
      </c>
      <c r="B112" s="2">
        <v>35807877</v>
      </c>
      <c r="C112" s="3" t="s">
        <v>584</v>
      </c>
      <c r="D112" s="3" t="s">
        <v>964</v>
      </c>
      <c r="E112" s="3" t="s">
        <v>965</v>
      </c>
      <c r="F112" s="4" t="s">
        <v>792</v>
      </c>
      <c r="G112" s="4" t="s">
        <v>792</v>
      </c>
      <c r="H112" s="4" t="s">
        <v>792</v>
      </c>
      <c r="I112" s="4" t="s">
        <v>792</v>
      </c>
      <c r="J112" s="4" t="s">
        <v>792</v>
      </c>
      <c r="K112" s="4" t="s">
        <v>792</v>
      </c>
      <c r="L112" s="4" t="s">
        <v>792</v>
      </c>
      <c r="M112" s="4" t="s">
        <v>792</v>
      </c>
      <c r="N112" s="4" t="s">
        <v>792</v>
      </c>
      <c r="O112" s="4" t="s">
        <v>793</v>
      </c>
      <c r="P112" s="4" t="s">
        <v>792</v>
      </c>
      <c r="Q112" s="4" t="s">
        <v>793</v>
      </c>
      <c r="R112" s="5"/>
    </row>
    <row r="113" ht="81.75" customHeight="1" spans="1:18">
      <c r="A113" s="2">
        <v>112</v>
      </c>
      <c r="B113" s="2">
        <v>35857057</v>
      </c>
      <c r="C113" s="3" t="s">
        <v>966</v>
      </c>
      <c r="D113" s="3" t="s">
        <v>967</v>
      </c>
      <c r="E113" s="3" t="s">
        <v>968</v>
      </c>
      <c r="F113" s="4" t="s">
        <v>792</v>
      </c>
      <c r="G113" s="4" t="s">
        <v>792</v>
      </c>
      <c r="H113" s="4" t="s">
        <v>792</v>
      </c>
      <c r="I113" s="4" t="s">
        <v>792</v>
      </c>
      <c r="J113" s="4" t="s">
        <v>792</v>
      </c>
      <c r="K113" s="4" t="s">
        <v>792</v>
      </c>
      <c r="L113" s="4" t="s">
        <v>792</v>
      </c>
      <c r="M113" s="4" t="s">
        <v>792</v>
      </c>
      <c r="N113" s="4" t="s">
        <v>792</v>
      </c>
      <c r="O113" s="4" t="s">
        <v>793</v>
      </c>
      <c r="P113" s="4" t="s">
        <v>792</v>
      </c>
      <c r="Q113" s="4" t="s">
        <v>792</v>
      </c>
      <c r="R113" s="5"/>
    </row>
    <row r="114" ht="69" customHeight="1" spans="1:18">
      <c r="A114" s="2">
        <v>113</v>
      </c>
      <c r="B114" s="2">
        <v>35883147</v>
      </c>
      <c r="C114" s="3" t="s">
        <v>454</v>
      </c>
      <c r="D114" s="3" t="s">
        <v>660</v>
      </c>
      <c r="E114" s="3" t="s">
        <v>461</v>
      </c>
      <c r="F114" s="4" t="s">
        <v>792</v>
      </c>
      <c r="G114" s="4" t="s">
        <v>792</v>
      </c>
      <c r="H114" s="4" t="s">
        <v>792</v>
      </c>
      <c r="I114" s="4" t="s">
        <v>792</v>
      </c>
      <c r="J114" s="4" t="s">
        <v>792</v>
      </c>
      <c r="K114" s="4" t="s">
        <v>792</v>
      </c>
      <c r="L114" s="4" t="s">
        <v>792</v>
      </c>
      <c r="M114" s="4" t="s">
        <v>792</v>
      </c>
      <c r="N114" s="4" t="s">
        <v>792</v>
      </c>
      <c r="O114" s="4" t="s">
        <v>793</v>
      </c>
      <c r="P114" s="4" t="s">
        <v>793</v>
      </c>
      <c r="Q114" s="4" t="s">
        <v>793</v>
      </c>
      <c r="R114" s="5"/>
    </row>
    <row r="115" ht="172.5" customHeight="1" spans="1:18">
      <c r="A115" s="2">
        <v>114</v>
      </c>
      <c r="B115" s="2">
        <v>36077144</v>
      </c>
      <c r="C115" s="3" t="s">
        <v>667</v>
      </c>
      <c r="D115" s="3" t="s">
        <v>668</v>
      </c>
      <c r="E115" s="3" t="s">
        <v>669</v>
      </c>
      <c r="F115" s="4" t="s">
        <v>792</v>
      </c>
      <c r="G115" s="4" t="s">
        <v>792</v>
      </c>
      <c r="H115" s="4" t="s">
        <v>792</v>
      </c>
      <c r="I115" s="4" t="s">
        <v>792</v>
      </c>
      <c r="J115" s="4" t="s">
        <v>792</v>
      </c>
      <c r="K115" s="4" t="s">
        <v>792</v>
      </c>
      <c r="L115" s="4" t="s">
        <v>792</v>
      </c>
      <c r="M115" s="4" t="s">
        <v>792</v>
      </c>
      <c r="N115" s="4" t="s">
        <v>792</v>
      </c>
      <c r="O115" s="4" t="s">
        <v>793</v>
      </c>
      <c r="P115" s="4" t="s">
        <v>792</v>
      </c>
      <c r="Q115" s="4" t="s">
        <v>792</v>
      </c>
      <c r="R115" s="5"/>
    </row>
    <row r="116" ht="30" customHeight="1" spans="1:18">
      <c r="A116" s="2">
        <v>115</v>
      </c>
      <c r="B116" s="2">
        <v>36142733</v>
      </c>
      <c r="C116" s="3" t="s">
        <v>454</v>
      </c>
      <c r="D116" s="3" t="s">
        <v>455</v>
      </c>
      <c r="E116" s="3" t="s">
        <v>456</v>
      </c>
      <c r="F116" s="4" t="s">
        <v>792</v>
      </c>
      <c r="G116" s="4" t="s">
        <v>792</v>
      </c>
      <c r="H116" s="4" t="s">
        <v>792</v>
      </c>
      <c r="I116" s="4" t="s">
        <v>792</v>
      </c>
      <c r="J116" s="4" t="s">
        <v>792</v>
      </c>
      <c r="K116" s="4" t="s">
        <v>792</v>
      </c>
      <c r="L116" s="4" t="s">
        <v>792</v>
      </c>
      <c r="M116" s="4" t="s">
        <v>792</v>
      </c>
      <c r="N116" s="4" t="s">
        <v>792</v>
      </c>
      <c r="O116" s="4" t="s">
        <v>793</v>
      </c>
      <c r="P116" s="4" t="s">
        <v>792</v>
      </c>
      <c r="Q116" s="4" t="s">
        <v>792</v>
      </c>
      <c r="R116" s="5"/>
    </row>
    <row r="117" ht="159.75" customHeight="1" spans="1:18">
      <c r="A117" s="2">
        <v>116</v>
      </c>
      <c r="B117" s="2">
        <v>36212182</v>
      </c>
      <c r="C117" s="3" t="s">
        <v>969</v>
      </c>
      <c r="D117" s="3" t="s">
        <v>970</v>
      </c>
      <c r="E117" s="3" t="s">
        <v>971</v>
      </c>
      <c r="F117" s="4" t="s">
        <v>792</v>
      </c>
      <c r="G117" s="4" t="s">
        <v>792</v>
      </c>
      <c r="H117" s="4" t="s">
        <v>792</v>
      </c>
      <c r="I117" s="4" t="s">
        <v>792</v>
      </c>
      <c r="J117" s="4" t="s">
        <v>792</v>
      </c>
      <c r="K117" s="4" t="s">
        <v>792</v>
      </c>
      <c r="L117" s="4" t="s">
        <v>792</v>
      </c>
      <c r="M117" s="4" t="s">
        <v>792</v>
      </c>
      <c r="N117" s="4" t="s">
        <v>792</v>
      </c>
      <c r="O117" s="4" t="s">
        <v>793</v>
      </c>
      <c r="P117" s="4" t="s">
        <v>793</v>
      </c>
      <c r="Q117" s="4" t="s">
        <v>793</v>
      </c>
      <c r="R117" s="5"/>
    </row>
    <row r="118" ht="81.75" customHeight="1" spans="1:18">
      <c r="A118" s="2">
        <v>117</v>
      </c>
      <c r="B118" s="2">
        <v>36212937</v>
      </c>
      <c r="C118" s="3" t="s">
        <v>972</v>
      </c>
      <c r="D118" s="3" t="s">
        <v>973</v>
      </c>
      <c r="E118" s="3" t="s">
        <v>974</v>
      </c>
      <c r="F118" s="4" t="s">
        <v>792</v>
      </c>
      <c r="G118" s="4" t="s">
        <v>792</v>
      </c>
      <c r="H118" s="4" t="s">
        <v>793</v>
      </c>
      <c r="I118" s="4" t="s">
        <v>792</v>
      </c>
      <c r="J118" s="4" t="s">
        <v>792</v>
      </c>
      <c r="K118" s="4" t="s">
        <v>793</v>
      </c>
      <c r="L118" s="4" t="s">
        <v>793</v>
      </c>
      <c r="M118" s="4" t="s">
        <v>792</v>
      </c>
      <c r="N118" s="4" t="s">
        <v>792</v>
      </c>
      <c r="O118" s="4" t="s">
        <v>792</v>
      </c>
      <c r="P118" s="4" t="s">
        <v>792</v>
      </c>
      <c r="Q118" s="4" t="s">
        <v>792</v>
      </c>
      <c r="R118" s="5"/>
    </row>
    <row r="119" ht="55.5" customHeight="1" spans="1:18">
      <c r="A119" s="2">
        <v>118</v>
      </c>
      <c r="B119" s="2">
        <v>36313424</v>
      </c>
      <c r="C119" s="3" t="s">
        <v>975</v>
      </c>
      <c r="D119" s="3" t="s">
        <v>976</v>
      </c>
      <c r="E119" s="3" t="s">
        <v>977</v>
      </c>
      <c r="F119" s="4" t="s">
        <v>792</v>
      </c>
      <c r="G119" s="4" t="s">
        <v>792</v>
      </c>
      <c r="H119" s="4" t="s">
        <v>792</v>
      </c>
      <c r="I119" s="4" t="s">
        <v>792</v>
      </c>
      <c r="J119" s="4" t="s">
        <v>792</v>
      </c>
      <c r="K119" s="4" t="s">
        <v>792</v>
      </c>
      <c r="L119" s="4" t="s">
        <v>792</v>
      </c>
      <c r="M119" s="4" t="s">
        <v>792</v>
      </c>
      <c r="N119" s="4" t="s">
        <v>792</v>
      </c>
      <c r="O119" s="4" t="s">
        <v>793</v>
      </c>
      <c r="P119" s="4" t="s">
        <v>792</v>
      </c>
      <c r="Q119" s="4" t="s">
        <v>793</v>
      </c>
      <c r="R119" s="5"/>
    </row>
    <row r="120" ht="147" customHeight="1" spans="1:18">
      <c r="A120" s="2">
        <v>119</v>
      </c>
      <c r="B120" s="2">
        <v>36321499</v>
      </c>
      <c r="C120" s="3" t="s">
        <v>680</v>
      </c>
      <c r="D120" s="3" t="s">
        <v>681</v>
      </c>
      <c r="E120" s="3" t="s">
        <v>682</v>
      </c>
      <c r="F120" s="4" t="s">
        <v>792</v>
      </c>
      <c r="G120" s="4" t="s">
        <v>792</v>
      </c>
      <c r="H120" s="4" t="s">
        <v>792</v>
      </c>
      <c r="I120" s="4" t="s">
        <v>792</v>
      </c>
      <c r="J120" s="4" t="s">
        <v>792</v>
      </c>
      <c r="K120" s="4" t="s">
        <v>792</v>
      </c>
      <c r="L120" s="4" t="s">
        <v>792</v>
      </c>
      <c r="M120" s="4" t="s">
        <v>792</v>
      </c>
      <c r="N120" s="4" t="s">
        <v>793</v>
      </c>
      <c r="O120" s="4" t="s">
        <v>793</v>
      </c>
      <c r="P120" s="4" t="s">
        <v>793</v>
      </c>
      <c r="Q120" s="4" t="s">
        <v>792</v>
      </c>
      <c r="R120" s="5"/>
    </row>
  </sheetData>
  <dataValidations count="1">
    <dataValidation type="list" allowBlank="1" errorTitle="请从下拉列表选择" error="请从下拉列表中选择一项。" sqref="F2:Q120">
      <formula1>"是,否"</formula1>
    </dataValidation>
  </dataValidations>
  <pageMargins left="0.75" right="0.75" top="1" bottom="1" header="0.511811023622047" footer="0.511811023622047"/>
  <pageSetup paperSize="9" fitToHeight="0"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说明</vt:lpstr>
      <vt:lpstr>S1_锚定手术判定</vt:lpstr>
      <vt:lpstr>S2_术前时间核对</vt:lpstr>
      <vt:lpstr>S3_超声报告阅读_甲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舒俊</cp:lastModifiedBy>
  <cp:revision>0</cp:revision>
  <dcterms:created xsi:type="dcterms:W3CDTF">2026-10-08T14:44:00Z</dcterms:created>
  <dcterms:modified xsi:type="dcterms:W3CDTF">2026-10-09T13:05:42Z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40AD3EA755394F50ACC6B7D5396E225A_12</vt:lpwstr>
  </property>
  <property fmtid="{D5CDD505-2E9C-101B-9397-08002B2CF9AE}" pid="3" name="KSOProductBuildVer">
    <vt:lpwstr>2052-12.1.0.28505</vt:lpwstr>
  </property>
  <property fmtid="{D5CDD505-2E9C-101B-9397-08002B2CF9AE}" pid="4" name="CalculationRule">
    <vt:i4>0</vt:i4>
  </property>
</Properties>
</file>